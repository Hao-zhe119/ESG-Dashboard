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myrp-my.sharepoint.com/personal/24036596_myrp_edu_sg/Documents/Desktop/ESG Dashboard/ESG excel data/"/>
    </mc:Choice>
  </mc:AlternateContent>
  <xr:revisionPtr revIDLastSave="1" documentId="11_883E46525A99A1FCCBBB85F18182DD56F3A34C14" xr6:coauthVersionLast="47" xr6:coauthVersionMax="47" xr10:uidLastSave="{492291DC-95D0-4991-B3F3-206610158D17}"/>
  <bookViews>
    <workbookView xWindow="0" yWindow="0" windowWidth="21600" windowHeight="12780" xr2:uid="{00000000-000D-0000-FFFF-FFFF00000000}"/>
  </bookViews>
  <sheets>
    <sheet name="1_Elec Bill" sheetId="1" r:id="rId1"/>
    <sheet name="1.1_Individual Pod" sheetId="2" r:id="rId2"/>
    <sheet name="2_Water Bill" sheetId="3" r:id="rId3"/>
    <sheet name="2.1_Individual Pod" sheetId="4" r:id="rId4"/>
    <sheet name="3_Solar Data" sheetId="5" r:id="rId5"/>
    <sheet name="4_Waste and Recycled (Pivot)" sheetId="6" r:id="rId6"/>
  </sheets>
  <externalReferences>
    <externalReference r:id="rId7"/>
  </externalReferences>
  <definedNames>
    <definedName name="Table4">'[1]Pivot %'!#REF!</definedName>
  </definedNames>
  <calcPr calcId="191029"/>
  <pivotCaches>
    <pivotCache cacheId="0" r:id="rId8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5" l="1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</calcChain>
</file>

<file path=xl/sharedStrings.xml><?xml version="1.0" encoding="utf-8"?>
<sst xmlns="http://schemas.openxmlformats.org/spreadsheetml/2006/main" count="232" uniqueCount="101">
  <si>
    <t>Elect</t>
  </si>
  <si>
    <t>Month</t>
  </si>
  <si>
    <t>kWh (SP Metered)</t>
  </si>
  <si>
    <t>CY2024 Elect</t>
  </si>
  <si>
    <t>BUILDING NAME</t>
  </si>
  <si>
    <t xml:space="preserve">ECMC </t>
  </si>
  <si>
    <t>RPC</t>
  </si>
  <si>
    <t>TRCC</t>
  </si>
  <si>
    <t>E1</t>
  </si>
  <si>
    <t>E2</t>
  </si>
  <si>
    <t>E3 (incl Agora Library)</t>
  </si>
  <si>
    <t>E4</t>
  </si>
  <si>
    <t>E5</t>
  </si>
  <si>
    <t>E6</t>
  </si>
  <si>
    <t>W1</t>
  </si>
  <si>
    <t>W2</t>
  </si>
  <si>
    <t>W3</t>
  </si>
  <si>
    <t>W4, Agora Hall</t>
  </si>
  <si>
    <t>W5</t>
  </si>
  <si>
    <t>W6</t>
  </si>
  <si>
    <t xml:space="preserve">Sports Complex </t>
  </si>
  <si>
    <t>The Arch (1&amp;2)</t>
  </si>
  <si>
    <t>Green House</t>
  </si>
  <si>
    <t>Blk 43</t>
  </si>
  <si>
    <t>RPIC</t>
  </si>
  <si>
    <t>XLC</t>
  </si>
  <si>
    <t>ALC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</si>
  <si>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</si>
  <si>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</si>
  <si>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</si>
  <si>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</si>
  <si>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</si>
  <si>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</si>
  <si>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</si>
  <si>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</si>
  <si>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</si>
  <si>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</si>
  <si>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</si>
  <si>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</si>
  <si>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CY2025 Elect</t>
  </si>
  <si>
    <t>CY2026 Elect</t>
  </si>
  <si>
    <t>Water</t>
  </si>
  <si>
    <t>Cu3 (Portable Water)</t>
  </si>
  <si>
    <t>Cu3 (NEWater)</t>
  </si>
  <si>
    <t>Cu3 (Total)</t>
  </si>
  <si>
    <t>CY2025 Water</t>
  </si>
  <si>
    <t>E3</t>
  </si>
  <si>
    <t>W4</t>
  </si>
  <si>
    <t>SIT</t>
  </si>
  <si>
    <t>ECMC</t>
  </si>
  <si>
    <t>SPORT HALL</t>
  </si>
  <si>
    <t>GREEN HOUSE</t>
  </si>
  <si>
    <t>The ARCH</t>
  </si>
  <si>
    <t>CY2026 Water</t>
  </si>
  <si>
    <t>Solar</t>
  </si>
  <si>
    <t>Urban Renewables</t>
  </si>
  <si>
    <t>Green House (KWh)</t>
  </si>
  <si>
    <t>Total Solar Energy</t>
  </si>
  <si>
    <t>80,484.38</t>
  </si>
  <si>
    <t>93,228.96</t>
  </si>
  <si>
    <t xml:space="preserve">104,270.16 </t>
  </si>
  <si>
    <t>84,001.85</t>
  </si>
  <si>
    <t>72,025.00</t>
  </si>
  <si>
    <t>75,250.19</t>
  </si>
  <si>
    <t>98,728.71</t>
  </si>
  <si>
    <t>95,418.72</t>
  </si>
  <si>
    <t>97,554.42</t>
  </si>
  <si>
    <t>89,054.45</t>
  </si>
  <si>
    <t xml:space="preserve">71,433.22 </t>
  </si>
  <si>
    <t>91,181.45</t>
  </si>
  <si>
    <t>General &amp; Recyclable Waste</t>
  </si>
  <si>
    <t>FY</t>
  </si>
  <si>
    <t xml:space="preserve"> General Waste (kg)</t>
  </si>
  <si>
    <t xml:space="preserve"> Recycled Waste (kg)</t>
  </si>
  <si>
    <t xml:space="preserve"> % (General Waste)</t>
  </si>
  <si>
    <t xml:space="preserve"> % (Recycled Waste)</t>
  </si>
  <si>
    <t>FY2023</t>
  </si>
  <si>
    <t>FY2024</t>
  </si>
  <si>
    <t>FY2025</t>
  </si>
  <si>
    <t xml:space="preserve"> 378,263.86 </t>
  </si>
  <si>
    <t xml:space="preserve"> 52,335.64 </t>
  </si>
  <si>
    <t xml:space="preserve"> 76,810.86 </t>
  </si>
  <si>
    <t xml:space="preserve"> 101,288.58 </t>
  </si>
  <si>
    <t xml:space="preserve"> 32,462.05 </t>
  </si>
  <si>
    <t xml:space="preserve"> 60,404.36 </t>
  </si>
  <si>
    <t xml:space="preserve"> 53,690.55 </t>
  </si>
  <si>
    <t xml:space="preserve"> 66,005.74 </t>
  </si>
  <si>
    <t xml:space="preserve"> 36,043.46 </t>
  </si>
  <si>
    <t xml:space="preserve"> 27,418.32 </t>
  </si>
  <si>
    <t xml:space="preserve"> 78,894.93 </t>
  </si>
  <si>
    <t xml:space="preserve"> 40,006.82 </t>
  </si>
  <si>
    <t xml:space="preserve"> 84,338.97 </t>
  </si>
  <si>
    <t xml:space="preserve"> 51,983.22 </t>
  </si>
  <si>
    <t xml:space="preserve"> 57,408.22 </t>
  </si>
  <si>
    <t xml:space="preserve"> 60,832.52 </t>
  </si>
  <si>
    <t xml:space="preserve"> 22,874.31 </t>
  </si>
  <si>
    <t xml:space="preserve"> 18,344.56 </t>
  </si>
  <si>
    <t xml:space="preserve"> 92,567.44 </t>
  </si>
  <si>
    <t xml:space="preserve"> 46,612.86 </t>
  </si>
  <si>
    <t xml:space="preserve"> 1,172.52 </t>
  </si>
  <si>
    <t xml:space="preserve"> 354.72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</si>
</sst>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#,##0.0"/>
    <numFmt numFmtId="165" formatCode="_-* #,##0_-;\-* #,##0_-;_-* &quot;-&quot;??_-;_-@_-"/>
    <numFmt numFmtId="166" formatCode="mmm\-yyyy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3F"/>
      <name val="Arial"/>
      <family val="2"/>
    </font>
    <font>
      <b/>
      <sz val="11"/>
      <color rgb="FFC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name val="Arial"/>
      <family val="2"/>
    </font>
    <font>
      <sz val="12"/>
      <name val="宋体"/>
      <charset val="134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theme="8"/>
      </patternFill>
    </fill>
    <fill>
      <patternFill patternType="solid">
        <fgColor theme="0" tint="-4.9989318521683403E-2"/>
        <bgColor theme="8" tint="0.79998168889431442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medium">
        <color rgb="FFFFFF00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/>
      <diagonal/>
    </border>
  </borders>
  <cellStyleXfs count="124">
    <xf numFmtId="0" fontId="0" fillId="0" borderId="0"/>
    <xf numFmtId="43" fontId="1" fillId="0" borderId="0"/>
    <xf numFmtId="0" fontId="1" fillId="0" borderId="0"/>
    <xf numFmtId="0" fontId="3" fillId="2" borderId="1"/>
    <xf numFmtId="0" fontId="7" fillId="0" borderId="0"/>
    <xf numFmtId="0" fontId="1" fillId="0" borderId="0"/>
    <xf numFmtId="0" fontId="9" fillId="0" borderId="0">
      <alignment vertical="center"/>
    </xf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" fillId="0" borderId="0"/>
    <xf numFmtId="0" fontId="8" fillId="0" borderId="0"/>
    <xf numFmtId="44" fontId="8" fillId="0" borderId="0"/>
    <xf numFmtId="43" fontId="10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" fillId="0" borderId="0"/>
    <xf numFmtId="44" fontId="8" fillId="0" borderId="0"/>
    <xf numFmtId="43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" fillId="0" borderId="0"/>
    <xf numFmtId="44" fontId="8" fillId="0" borderId="0"/>
    <xf numFmtId="43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" fillId="0" borderId="0"/>
    <xf numFmtId="44" fontId="8" fillId="0" borderId="0"/>
    <xf numFmtId="43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" fillId="0" borderId="0"/>
    <xf numFmtId="44" fontId="8" fillId="0" borderId="0"/>
    <xf numFmtId="43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" fillId="0" borderId="0"/>
    <xf numFmtId="44" fontId="8" fillId="0" borderId="0"/>
    <xf numFmtId="43" fontId="10" fillId="0" borderId="0"/>
    <xf numFmtId="0" fontId="1" fillId="0" borderId="0"/>
    <xf numFmtId="0" fontId="1" fillId="0" borderId="0"/>
    <xf numFmtId="0" fontId="1" fillId="0" borderId="0"/>
    <xf numFmtId="43" fontId="1" fillId="0" borderId="0"/>
    <xf numFmtId="0" fontId="7" fillId="0" borderId="0"/>
    <xf numFmtId="0" fontId="11" fillId="0" borderId="0"/>
    <xf numFmtId="0" fontId="8" fillId="0" borderId="0"/>
    <xf numFmtId="9" fontId="1" fillId="0" borderId="0"/>
    <xf numFmtId="43" fontId="8" fillId="0" borderId="0"/>
    <xf numFmtId="43" fontId="7" fillId="0" borderId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43" fontId="0" fillId="0" borderId="0" xfId="1" applyFont="1" applyAlignment="1">
      <alignment horizontal="center" vertical="center"/>
    </xf>
    <xf numFmtId="43" fontId="0" fillId="0" borderId="0" xfId="1" applyFont="1"/>
    <xf numFmtId="0" fontId="0" fillId="0" borderId="0" xfId="0" applyAlignment="1">
      <alignment horizontal="center"/>
    </xf>
    <xf numFmtId="0" fontId="4" fillId="3" borderId="0" xfId="0" applyFont="1" applyFill="1"/>
    <xf numFmtId="0" fontId="0" fillId="3" borderId="0" xfId="0" applyFill="1"/>
    <xf numFmtId="0" fontId="5" fillId="0" borderId="0" xfId="0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5" fontId="0" fillId="0" borderId="0" xfId="1" applyNumberFormat="1" applyFont="1" applyAlignment="1">
      <alignment horizontal="center"/>
    </xf>
    <xf numFmtId="16" fontId="0" fillId="0" borderId="0" xfId="0" applyNumberFormat="1" applyAlignment="1">
      <alignment horizontal="center"/>
    </xf>
    <xf numFmtId="0" fontId="12" fillId="0" borderId="0" xfId="0" applyFont="1"/>
    <xf numFmtId="0" fontId="0" fillId="0" borderId="0" xfId="0" applyAlignment="1">
      <alignment horizontal="right"/>
    </xf>
    <xf numFmtId="166" fontId="0" fillId="0" borderId="0" xfId="0" applyNumberFormat="1" applyAlignment="1">
      <alignment horizontal="left" vertical="top" wrapText="1"/>
    </xf>
    <xf numFmtId="0" fontId="0" fillId="0" borderId="0" xfId="0" applyAlignment="1">
      <alignment horizontal="right" vertical="top" wrapText="1"/>
    </xf>
    <xf numFmtId="166" fontId="0" fillId="0" borderId="0" xfId="0" applyNumberFormat="1" applyAlignment="1">
      <alignment horizontal="left"/>
    </xf>
    <xf numFmtId="3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166" fontId="0" fillId="0" borderId="0" xfId="0" applyNumberFormat="1" applyAlignment="1">
      <alignment horizontal="left" indent="1"/>
    </xf>
    <xf numFmtId="0" fontId="13" fillId="0" borderId="0" xfId="0" applyFont="1"/>
    <xf numFmtId="0" fontId="0" fillId="0" borderId="0" xfId="0" applyAlignment="1">
      <alignment vertical="top" wrapText="1"/>
    </xf>
    <xf numFmtId="0" fontId="14" fillId="7" borderId="9" xfId="0" applyFont="1" applyFill="1" applyBorder="1" applyAlignment="1">
      <alignment horizontal="center"/>
    </xf>
    <xf numFmtId="0" fontId="14" fillId="7" borderId="9" xfId="0" applyFont="1" applyFill="1" applyBorder="1" applyAlignment="1">
      <alignment horizontal="center" vertical="center"/>
    </xf>
    <xf numFmtId="0" fontId="0" fillId="8" borderId="7" xfId="0" applyFill="1" applyBorder="1" applyAlignment="1">
      <alignment horizontal="center"/>
    </xf>
    <xf numFmtId="43" fontId="0" fillId="8" borderId="8" xfId="1" applyFont="1" applyFill="1" applyBorder="1" applyAlignment="1">
      <alignment horizontal="center" vertical="center"/>
    </xf>
    <xf numFmtId="43" fontId="0" fillId="8" borderId="8" xfId="1" applyFont="1" applyFill="1" applyBorder="1"/>
    <xf numFmtId="0" fontId="0" fillId="0" borderId="7" xfId="0" applyBorder="1" applyAlignment="1">
      <alignment horizontal="center"/>
    </xf>
    <xf numFmtId="43" fontId="0" fillId="0" borderId="8" xfId="1" applyFont="1" applyBorder="1"/>
    <xf numFmtId="43" fontId="0" fillId="0" borderId="8" xfId="1" applyFont="1" applyBorder="1" applyAlignment="1">
      <alignment horizontal="center" vertical="center"/>
    </xf>
  </cellXfs>
  <cellStyles count="124">
    <cellStyle name="Comma" xfId="1" builtinId="3"/>
    <cellStyle name="Comma 2" xfId="20" xr:uid="{00000000-0005-0000-0000-000014000000}"/>
    <cellStyle name="Comma 2 2" xfId="23" xr:uid="{00000000-0005-0000-0000-000017000000}"/>
    <cellStyle name="Comma 2 2 2" xfId="62" xr:uid="{00000000-0005-0000-0000-00003E000000}"/>
    <cellStyle name="Comma 2 2 2 2" xfId="113" xr:uid="{00000000-0005-0000-0000-000071000000}"/>
    <cellStyle name="Comma 2 2 3" xfId="79" xr:uid="{00000000-0005-0000-0000-00004F000000}"/>
    <cellStyle name="Comma 2 2 4" xfId="45" xr:uid="{00000000-0005-0000-0000-00002D000000}"/>
    <cellStyle name="Comma 2 2 5" xfId="96" xr:uid="{00000000-0005-0000-0000-000060000000}"/>
    <cellStyle name="Comma 2 3" xfId="60" xr:uid="{00000000-0005-0000-0000-00003C000000}"/>
    <cellStyle name="Comma 2 3 2" xfId="111" xr:uid="{00000000-0005-0000-0000-00006F000000}"/>
    <cellStyle name="Comma 2 4" xfId="77" xr:uid="{00000000-0005-0000-0000-00004D000000}"/>
    <cellStyle name="Comma 2 5" xfId="43" xr:uid="{00000000-0005-0000-0000-00002B000000}"/>
    <cellStyle name="Comma 2 6" xfId="94" xr:uid="{00000000-0005-0000-0000-00005E000000}"/>
    <cellStyle name="Comma 2 7" xfId="122" xr:uid="{00000000-0005-0000-0000-00007A000000}"/>
    <cellStyle name="Comma 3" xfId="117" xr:uid="{00000000-0005-0000-0000-000075000000}"/>
    <cellStyle name="Comma 4" xfId="123" xr:uid="{00000000-0005-0000-0000-00007B000000}"/>
    <cellStyle name="Currency 2" xfId="22" xr:uid="{00000000-0005-0000-0000-000016000000}"/>
    <cellStyle name="Currency 2 2" xfId="61" xr:uid="{00000000-0005-0000-0000-00003D000000}"/>
    <cellStyle name="Currency 2 2 2" xfId="112" xr:uid="{00000000-0005-0000-0000-000070000000}"/>
    <cellStyle name="Currency 2 3" xfId="78" xr:uid="{00000000-0005-0000-0000-00004E000000}"/>
    <cellStyle name="Currency 2 4" xfId="44" xr:uid="{00000000-0005-0000-0000-00002C000000}"/>
    <cellStyle name="Currency 2 5" xfId="95" xr:uid="{00000000-0005-0000-0000-00005F000000}"/>
    <cellStyle name="Hyperlink 2" xfId="119" xr:uid="{00000000-0005-0000-0000-000077000000}"/>
    <cellStyle name="Normal" xfId="0" builtinId="0"/>
    <cellStyle name="Normal 10" xfId="8" xr:uid="{00000000-0005-0000-0000-000008000000}"/>
    <cellStyle name="Normal 10 2" xfId="48" xr:uid="{00000000-0005-0000-0000-000030000000}"/>
    <cellStyle name="Normal 10 2 2" xfId="99" xr:uid="{00000000-0005-0000-0000-000063000000}"/>
    <cellStyle name="Normal 10 3" xfId="65" xr:uid="{00000000-0005-0000-0000-000041000000}"/>
    <cellStyle name="Normal 10 4" xfId="31" xr:uid="{00000000-0005-0000-0000-00001F000000}"/>
    <cellStyle name="Normal 10 5" xfId="82" xr:uid="{00000000-0005-0000-0000-000052000000}"/>
    <cellStyle name="Normal 11" xfId="9" xr:uid="{00000000-0005-0000-0000-000009000000}"/>
    <cellStyle name="Normal 11 2" xfId="49" xr:uid="{00000000-0005-0000-0000-000031000000}"/>
    <cellStyle name="Normal 11 2 2" xfId="100" xr:uid="{00000000-0005-0000-0000-000064000000}"/>
    <cellStyle name="Normal 11 3" xfId="66" xr:uid="{00000000-0005-0000-0000-000042000000}"/>
    <cellStyle name="Normal 11 4" xfId="32" xr:uid="{00000000-0005-0000-0000-000020000000}"/>
    <cellStyle name="Normal 11 5" xfId="83" xr:uid="{00000000-0005-0000-0000-000053000000}"/>
    <cellStyle name="Normal 12" xfId="10" xr:uid="{00000000-0005-0000-0000-00000A000000}"/>
    <cellStyle name="Normal 12 2" xfId="50" xr:uid="{00000000-0005-0000-0000-000032000000}"/>
    <cellStyle name="Normal 12 2 2" xfId="101" xr:uid="{00000000-0005-0000-0000-000065000000}"/>
    <cellStyle name="Normal 12 3" xfId="67" xr:uid="{00000000-0005-0000-0000-000043000000}"/>
    <cellStyle name="Normal 12 4" xfId="33" xr:uid="{00000000-0005-0000-0000-000021000000}"/>
    <cellStyle name="Normal 12 5" xfId="84" xr:uid="{00000000-0005-0000-0000-000054000000}"/>
    <cellStyle name="Normal 13" xfId="11" xr:uid="{00000000-0005-0000-0000-00000B000000}"/>
    <cellStyle name="Normal 13 2" xfId="51" xr:uid="{00000000-0005-0000-0000-000033000000}"/>
    <cellStyle name="Normal 13 2 2" xfId="102" xr:uid="{00000000-0005-0000-0000-000066000000}"/>
    <cellStyle name="Normal 13 3" xfId="68" xr:uid="{00000000-0005-0000-0000-000044000000}"/>
    <cellStyle name="Normal 13 4" xfId="34" xr:uid="{00000000-0005-0000-0000-000022000000}"/>
    <cellStyle name="Normal 13 5" xfId="85" xr:uid="{00000000-0005-0000-0000-000055000000}"/>
    <cellStyle name="Normal 14" xfId="12" xr:uid="{00000000-0005-0000-0000-00000C000000}"/>
    <cellStyle name="Normal 14 2" xfId="52" xr:uid="{00000000-0005-0000-0000-000034000000}"/>
    <cellStyle name="Normal 14 2 2" xfId="103" xr:uid="{00000000-0005-0000-0000-000067000000}"/>
    <cellStyle name="Normal 14 3" xfId="69" xr:uid="{00000000-0005-0000-0000-000045000000}"/>
    <cellStyle name="Normal 14 4" xfId="35" xr:uid="{00000000-0005-0000-0000-000023000000}"/>
    <cellStyle name="Normal 14 5" xfId="86" xr:uid="{00000000-0005-0000-0000-000056000000}"/>
    <cellStyle name="Normal 15" xfId="5" xr:uid="{00000000-0005-0000-0000-000005000000}"/>
    <cellStyle name="Normal 15 2" xfId="25" xr:uid="{00000000-0005-0000-0000-000019000000}"/>
    <cellStyle name="Normal 15 2 2" xfId="63" xr:uid="{00000000-0005-0000-0000-00003F000000}"/>
    <cellStyle name="Normal 15 2 2 2" xfId="114" xr:uid="{00000000-0005-0000-0000-000072000000}"/>
    <cellStyle name="Normal 15 2 3" xfId="80" xr:uid="{00000000-0005-0000-0000-000050000000}"/>
    <cellStyle name="Normal 15 2 4" xfId="46" xr:uid="{00000000-0005-0000-0000-00002E000000}"/>
    <cellStyle name="Normal 15 2 5" xfId="97" xr:uid="{00000000-0005-0000-0000-000061000000}"/>
    <cellStyle name="Normal 15 3" xfId="21" xr:uid="{00000000-0005-0000-0000-000015000000}"/>
    <cellStyle name="Normal 15 4" xfId="28" xr:uid="{00000000-0005-0000-0000-00001C000000}"/>
    <cellStyle name="Normal 15 4 2" xfId="47" xr:uid="{00000000-0005-0000-0000-00002F000000}"/>
    <cellStyle name="Normal 15 4 3" xfId="98" xr:uid="{00000000-0005-0000-0000-000062000000}"/>
    <cellStyle name="Normal 15 5" xfId="64" xr:uid="{00000000-0005-0000-0000-000040000000}"/>
    <cellStyle name="Normal 15 6" xfId="30" xr:uid="{00000000-0005-0000-0000-00001E000000}"/>
    <cellStyle name="Normal 15 7" xfId="81" xr:uid="{00000000-0005-0000-0000-000051000000}"/>
    <cellStyle name="Normal 16" xfId="24" xr:uid="{00000000-0005-0000-0000-000018000000}"/>
    <cellStyle name="Normal 17" xfId="6" xr:uid="{00000000-0005-0000-0000-000006000000}"/>
    <cellStyle name="Normal 18" xfId="26" xr:uid="{00000000-0005-0000-0000-00001A000000}"/>
    <cellStyle name="Normal 18 2" xfId="29" xr:uid="{00000000-0005-0000-0000-00001D000000}"/>
    <cellStyle name="Normal 19" xfId="115" xr:uid="{00000000-0005-0000-0000-000073000000}"/>
    <cellStyle name="Normal 2" xfId="2" xr:uid="{00000000-0005-0000-0000-000002000000}"/>
    <cellStyle name="Normal 2 2" xfId="27" xr:uid="{00000000-0005-0000-0000-00001B000000}"/>
    <cellStyle name="Normal 2 3" xfId="116" xr:uid="{00000000-0005-0000-0000-000074000000}"/>
    <cellStyle name="Normal 2 4" xfId="7" xr:uid="{00000000-0005-0000-0000-000007000000}"/>
    <cellStyle name="Normal 20" xfId="4" xr:uid="{00000000-0005-0000-0000-000004000000}"/>
    <cellStyle name="Normal 3" xfId="13" xr:uid="{00000000-0005-0000-0000-00000D000000}"/>
    <cellStyle name="Normal 3 2" xfId="53" xr:uid="{00000000-0005-0000-0000-000035000000}"/>
    <cellStyle name="Normal 3 2 2" xfId="104" xr:uid="{00000000-0005-0000-0000-000068000000}"/>
    <cellStyle name="Normal 3 3" xfId="70" xr:uid="{00000000-0005-0000-0000-000046000000}"/>
    <cellStyle name="Normal 3 4" xfId="36" xr:uid="{00000000-0005-0000-0000-000024000000}"/>
    <cellStyle name="Normal 3 5" xfId="87" xr:uid="{00000000-0005-0000-0000-000057000000}"/>
    <cellStyle name="Normal 3 6" xfId="118" xr:uid="{00000000-0005-0000-0000-000076000000}"/>
    <cellStyle name="Normal 4" xfId="14" xr:uid="{00000000-0005-0000-0000-00000E000000}"/>
    <cellStyle name="Normal 4 2" xfId="54" xr:uid="{00000000-0005-0000-0000-000036000000}"/>
    <cellStyle name="Normal 4 2 2" xfId="105" xr:uid="{00000000-0005-0000-0000-000069000000}"/>
    <cellStyle name="Normal 4 3" xfId="71" xr:uid="{00000000-0005-0000-0000-000047000000}"/>
    <cellStyle name="Normal 4 4" xfId="37" xr:uid="{00000000-0005-0000-0000-000025000000}"/>
    <cellStyle name="Normal 4 5" xfId="88" xr:uid="{00000000-0005-0000-0000-000058000000}"/>
    <cellStyle name="Normal 4 6" xfId="120" xr:uid="{00000000-0005-0000-0000-000078000000}"/>
    <cellStyle name="Normal 5" xfId="15" xr:uid="{00000000-0005-0000-0000-00000F000000}"/>
    <cellStyle name="Normal 5 2" xfId="55" xr:uid="{00000000-0005-0000-0000-000037000000}"/>
    <cellStyle name="Normal 5 2 2" xfId="106" xr:uid="{00000000-0005-0000-0000-00006A000000}"/>
    <cellStyle name="Normal 5 3" xfId="72" xr:uid="{00000000-0005-0000-0000-000048000000}"/>
    <cellStyle name="Normal 5 4" xfId="38" xr:uid="{00000000-0005-0000-0000-000026000000}"/>
    <cellStyle name="Normal 5 5" xfId="89" xr:uid="{00000000-0005-0000-0000-000059000000}"/>
    <cellStyle name="Normal 6" xfId="16" xr:uid="{00000000-0005-0000-0000-000010000000}"/>
    <cellStyle name="Normal 6 2" xfId="56" xr:uid="{00000000-0005-0000-0000-000038000000}"/>
    <cellStyle name="Normal 6 2 2" xfId="107" xr:uid="{00000000-0005-0000-0000-00006B000000}"/>
    <cellStyle name="Normal 6 3" xfId="73" xr:uid="{00000000-0005-0000-0000-000049000000}"/>
    <cellStyle name="Normal 6 4" xfId="39" xr:uid="{00000000-0005-0000-0000-000027000000}"/>
    <cellStyle name="Normal 6 5" xfId="90" xr:uid="{00000000-0005-0000-0000-00005A000000}"/>
    <cellStyle name="Normal 7" xfId="17" xr:uid="{00000000-0005-0000-0000-000011000000}"/>
    <cellStyle name="Normal 7 2" xfId="57" xr:uid="{00000000-0005-0000-0000-000039000000}"/>
    <cellStyle name="Normal 7 2 2" xfId="108" xr:uid="{00000000-0005-0000-0000-00006C000000}"/>
    <cellStyle name="Normal 7 3" xfId="74" xr:uid="{00000000-0005-0000-0000-00004A000000}"/>
    <cellStyle name="Normal 7 4" xfId="40" xr:uid="{00000000-0005-0000-0000-000028000000}"/>
    <cellStyle name="Normal 7 5" xfId="91" xr:uid="{00000000-0005-0000-0000-00005B000000}"/>
    <cellStyle name="Normal 8" xfId="18" xr:uid="{00000000-0005-0000-0000-000012000000}"/>
    <cellStyle name="Normal 8 2" xfId="58" xr:uid="{00000000-0005-0000-0000-00003A000000}"/>
    <cellStyle name="Normal 8 2 2" xfId="109" xr:uid="{00000000-0005-0000-0000-00006D000000}"/>
    <cellStyle name="Normal 8 3" xfId="75" xr:uid="{00000000-0005-0000-0000-00004B000000}"/>
    <cellStyle name="Normal 8 4" xfId="41" xr:uid="{00000000-0005-0000-0000-000029000000}"/>
    <cellStyle name="Normal 8 5" xfId="92" xr:uid="{00000000-0005-0000-0000-00005C000000}"/>
    <cellStyle name="Normal 9" xfId="19" xr:uid="{00000000-0005-0000-0000-000013000000}"/>
    <cellStyle name="Normal 9 2" xfId="59" xr:uid="{00000000-0005-0000-0000-00003B000000}"/>
    <cellStyle name="Normal 9 2 2" xfId="110" xr:uid="{00000000-0005-0000-0000-00006E000000}"/>
    <cellStyle name="Normal 9 3" xfId="76" xr:uid="{00000000-0005-0000-0000-00004C000000}"/>
    <cellStyle name="Normal 9 4" xfId="42" xr:uid="{00000000-0005-0000-0000-00002A000000}"/>
    <cellStyle name="Normal 9 5" xfId="93" xr:uid="{00000000-0005-0000-0000-00005D000000}"/>
    <cellStyle name="Output 2" xfId="3" xr:uid="{00000000-0005-0000-0000-000003000000}"/>
    <cellStyle name="Percent 2" xfId="121" xr:uid="{00000000-0005-0000-0000-000079000000}"/>
  </cellStyles>
  <dxfs count="161">
    <dxf>
      <numFmt numFmtId="166" formatCode="mmm\-yyyy"/>
    </dxf>
    <dxf>
      <alignment horizontal="right" vertical="top" wrapText="1"/>
    </dxf>
    <dxf>
      <numFmt numFmtId="13" formatCode="0%"/>
    </dxf>
    <dxf>
      <numFmt numFmtId="13" formatCode="0%"/>
    </dxf>
    <dxf>
      <numFmt numFmtId="3" formatCode="#,##0"/>
    </dxf>
    <dxf>
      <alignment horizontal="left"/>
    </dxf>
    <dxf>
      <numFmt numFmtId="0" formatCode="General"/>
      <alignment horizontal="right"/>
    </dxf>
    <dxf>
      <numFmt numFmtId="166" formatCode="mmm\-yyyy"/>
    </dxf>
    <dxf>
      <numFmt numFmtId="166" formatCode="mmm\-yyyy"/>
    </dxf>
    <dxf>
      <numFmt numFmtId="166" formatCode="mmm\-yyyy"/>
    </dxf>
    <dxf>
      <numFmt numFmtId="166" formatCode="mmm\-yyyy"/>
    </dxf>
    <dxf>
      <numFmt numFmtId="166" formatCode="mmm\-yyyy"/>
    </dxf>
    <dxf>
      <alignment horizontal="right"/>
    </dxf>
    <dxf>
      <numFmt numFmtId="166" formatCode="mmm\-yyyy"/>
    </dxf>
    <dxf>
      <numFmt numFmtId="166" formatCode="mmm\-yyyy"/>
    </dxf>
    <dxf>
      <alignment wrapText="1"/>
    </dxf>
    <dxf>
      <numFmt numFmtId="166" formatCode="mmm\-yyyy"/>
    </dxf>
    <dxf>
      <alignment vertical="top"/>
    </dxf>
    <dxf>
      <numFmt numFmtId="3" formatCode="#,##0"/>
    </dxf>
    <dxf>
      <numFmt numFmtId="164" formatCode="#,##0.0"/>
      <alignment horizontal="center" vertical="center"/>
    </dxf>
    <dxf>
      <numFmt numFmtId="4" formatCode="#,##0.00"/>
      <alignment horizontal="center" vertical="center"/>
    </dxf>
    <dxf>
      <numFmt numFmtId="4" formatCode="#,##0.00"/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22" formatCode="mmm\-yy"/>
      <alignment horizontal="center" vertical="center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numFmt numFmtId="165" formatCode="_-* #,##0_-;\-* #,##0_-;_-* &quot;-&quot;??_-;_-@_-"/>
      <alignment horizontal="center" vertical="center"/>
    </dxf>
    <dxf>
      <numFmt numFmtId="165" formatCode="_-* #,##0_-;\-* #,##0_-;_-* &quot;-&quot;??_-;_-@_-"/>
      <alignment horizontal="center" vertical="center"/>
    </dxf>
    <dxf>
      <numFmt numFmtId="165" formatCode="_-* #,##0_-;\-* #,##0_-;_-* &quot;-&quot;??_-;_-@_-"/>
      <alignment horizontal="center" vertical="center"/>
    </dxf>
    <dxf>
      <numFmt numFmtId="165" formatCode="_-* #,##0_-;\-* #,##0_-;_-* &quot;-&quot;??_-;_-@_-"/>
      <alignment horizontal="center" vertical="center"/>
    </dxf>
    <dxf>
      <numFmt numFmtId="165" formatCode="_-* #,##0_-;\-* #,##0_-;_-* &quot;-&quot;??_-;_-@_-"/>
      <alignment horizontal="center" vertical="center"/>
    </dxf>
    <dxf>
      <numFmt numFmtId="165" formatCode="_-* #,##0_-;\-* #,##0_-;_-* &quot;-&quot;??_-;_-@_-"/>
      <alignment horizontal="center" vertical="center"/>
    </dxf>
    <dxf>
      <numFmt numFmtId="165" formatCode="_-* #,##0_-;\-* #,##0_-;_-* &quot;-&quot;??_-;_-@_-"/>
      <alignment horizontal="center" vertical="center"/>
    </dxf>
    <dxf>
      <numFmt numFmtId="165" formatCode="_-* #,##0_-;\-* #,##0_-;_-* &quot;-&quot;??_-;_-@_-"/>
      <alignment horizontal="center" vertical="center"/>
    </dxf>
    <dxf>
      <numFmt numFmtId="165" formatCode="_-* #,##0_-;\-* #,##0_-;_-* &quot;-&quot;??_-;_-@_-"/>
      <alignment horizontal="center" vertical="center"/>
    </dxf>
    <dxf>
      <numFmt numFmtId="165" formatCode="_-* #,##0_-;\-* #,##0_-;_-* &quot;-&quot;??_-;_-@_-"/>
      <alignment horizontal="center" vertical="center"/>
    </dxf>
    <dxf>
      <numFmt numFmtId="165" formatCode="_-* #,##0_-;\-* #,##0_-;_-* &quot;-&quot;??_-;_-@_-"/>
      <alignment horizontal="center" vertical="center"/>
    </dxf>
    <dxf>
      <numFmt numFmtId="165" formatCode="_-* #,##0_-;\-* #,##0_-;_-* &quot;-&quot;??_-;_-@_-"/>
      <alignment horizontal="center" vertical="center"/>
    </dxf>
    <dxf>
      <numFmt numFmtId="165" formatCode="_-* #,##0_-;\-* #,##0_-;_-* &quot;-&quot;??_-;_-@_-"/>
      <alignment horizontal="center" vertical="center"/>
    </dxf>
    <dxf>
      <numFmt numFmtId="165" formatCode="_-* #,##0_-;\-* #,##0_-;_-* &quot;-&quot;??_-;_-@_-"/>
      <alignment horizontal="center" vertical="center"/>
    </dxf>
    <dxf>
      <numFmt numFmtId="165" formatCode="_-* #,##0_-;\-* #,##0_-;_-* &quot;-&quot;??_-;_-@_-"/>
      <alignment horizontal="center" vertical="center"/>
    </dxf>
    <dxf>
      <numFmt numFmtId="165" formatCode="_-* #,##0_-;\-* #,##0_-;_-* &quot;-&quot;??_-;_-@_-"/>
      <alignment horizontal="center" vertical="center"/>
    </dxf>
    <dxf>
      <numFmt numFmtId="165" formatCode="_-* #,##0_-;\-* #,##0_-;_-* &quot;-&quot;??_-;_-@_-"/>
      <alignment horizontal="center" vertical="center"/>
    </dxf>
    <dxf>
      <numFmt numFmtId="165" formatCode="_-* #,##0_-;\-* #,##0_-;_-* &quot;-&quot;??_-;_-@_-"/>
      <alignment horizontal="center" vertical="center"/>
    </dxf>
    <dxf>
      <numFmt numFmtId="165" formatCode="_-* #,##0_-;\-* #,##0_-;_-* &quot;-&quot;??_-;_-@_-"/>
      <alignment horizontal="center" vertical="center"/>
    </dxf>
    <dxf>
      <numFmt numFmtId="165" formatCode="_-* #,##0_-;\-* #,##0_-;_-* &quot;-&quot;??_-;_-@_-"/>
      <alignment horizontal="center" vertical="center"/>
    </dxf>
    <dxf>
      <alignment horizontal="center" vertical="bottom"/>
    </dxf>
    <dxf>
      <alignment horizontal="center" vertical="center"/>
    </dxf>
    <dxf>
      <numFmt numFmtId="165" formatCode="_-* #,##0_-;\-* #,##0_-;_-* &quot;-&quot;??_-;_-@_-"/>
      <alignment horizontal="center" vertical="center"/>
    </dxf>
    <dxf>
      <numFmt numFmtId="165" formatCode="_-* #,##0_-;\-* #,##0_-;_-* &quot;-&quot;??_-;_-@_-"/>
      <alignment horizontal="center" vertical="center"/>
    </dxf>
    <dxf>
      <numFmt numFmtId="165" formatCode="_-* #,##0_-;\-* #,##0_-;_-* &quot;-&quot;??_-;_-@_-"/>
      <alignment horizontal="center" vertical="center"/>
    </dxf>
    <dxf>
      <numFmt numFmtId="165" formatCode="_-* #,##0_-;\-* #,##0_-;_-* &quot;-&quot;??_-;_-@_-"/>
      <alignment horizontal="center" vertical="center"/>
    </dxf>
    <dxf>
      <numFmt numFmtId="165" formatCode="_-* #,##0_-;\-* #,##0_-;_-* &quot;-&quot;??_-;_-@_-"/>
      <alignment horizontal="center" vertical="center"/>
    </dxf>
    <dxf>
      <numFmt numFmtId="165" formatCode="_-* #,##0_-;\-* #,##0_-;_-* &quot;-&quot;??_-;_-@_-"/>
      <alignment horizontal="center" vertical="center"/>
    </dxf>
    <dxf>
      <numFmt numFmtId="165" formatCode="_-* #,##0_-;\-* #,##0_-;_-* &quot;-&quot;??_-;_-@_-"/>
      <alignment horizontal="center" vertical="center"/>
    </dxf>
    <dxf>
      <numFmt numFmtId="165" formatCode="_-* #,##0_-;\-* #,##0_-;_-* &quot;-&quot;??_-;_-@_-"/>
      <alignment horizontal="center" vertical="center"/>
    </dxf>
    <dxf>
      <numFmt numFmtId="165" formatCode="_-* #,##0_-;\-* #,##0_-;_-* &quot;-&quot;??_-;_-@_-"/>
      <alignment horizontal="center" vertical="center"/>
    </dxf>
    <dxf>
      <numFmt numFmtId="165" formatCode="_-* #,##0_-;\-* #,##0_-;_-* &quot;-&quot;??_-;_-@_-"/>
      <alignment horizontal="center" vertical="center"/>
    </dxf>
    <dxf>
      <numFmt numFmtId="165" formatCode="_-* #,##0_-;\-* #,##0_-;_-* &quot;-&quot;??_-;_-@_-"/>
      <alignment horizontal="center" vertical="center"/>
    </dxf>
    <dxf>
      <numFmt numFmtId="165" formatCode="_-* #,##0_-;\-* #,##0_-;_-* &quot;-&quot;??_-;_-@_-"/>
      <alignment horizontal="center" vertical="center"/>
    </dxf>
    <dxf>
      <numFmt numFmtId="165" formatCode="_-* #,##0_-;\-* #,##0_-;_-* &quot;-&quot;??_-;_-@_-"/>
      <alignment horizontal="center" vertical="center"/>
    </dxf>
    <dxf>
      <numFmt numFmtId="165" formatCode="_-* #,##0_-;\-* #,##0_-;_-* &quot;-&quot;??_-;_-@_-"/>
      <alignment horizontal="center" vertical="center"/>
    </dxf>
    <dxf>
      <numFmt numFmtId="165" formatCode="_-* #,##0_-;\-* #,##0_-;_-* &quot;-&quot;??_-;_-@_-"/>
      <alignment horizontal="center" vertical="center"/>
    </dxf>
    <dxf>
      <numFmt numFmtId="165" formatCode="_-* #,##0_-;\-* #,##0_-;_-* &quot;-&quot;??_-;_-@_-"/>
      <alignment horizontal="center" vertical="center"/>
    </dxf>
    <dxf>
      <numFmt numFmtId="165" formatCode="_-* #,##0_-;\-* #,##0_-;_-* &quot;-&quot;??_-;_-@_-"/>
      <alignment horizontal="center" vertical="center"/>
    </dxf>
    <dxf>
      <numFmt numFmtId="165" formatCode="_-* #,##0_-;\-* #,##0_-;_-* &quot;-&quot;??_-;_-@_-"/>
      <alignment horizontal="center" vertical="center"/>
    </dxf>
    <dxf>
      <numFmt numFmtId="165" formatCode="_-* #,##0_-;\-* #,##0_-;_-* &quot;-&quot;??_-;_-@_-"/>
      <alignment horizontal="center" vertical="center"/>
    </dxf>
    <dxf>
      <numFmt numFmtId="165" formatCode="_-* #,##0_-;\-* #,##0_-;_-* &quot;-&quot;??_-;_-@_-"/>
      <alignment horizontal="center" vertical="center"/>
    </dxf>
    <dxf>
      <alignment horizontal="center" vertical="bottom"/>
    </dxf>
    <dxf>
      <alignment horizontal="center" vertical="center"/>
    </dxf>
    <dxf>
      <numFmt numFmtId="164" formatCode="#,##0.0"/>
      <alignment horizontal="center" vertical="center"/>
    </dxf>
    <dxf>
      <numFmt numFmtId="164" formatCode="#,##0.0"/>
      <alignment horizontal="center" vertical="center"/>
    </dxf>
    <dxf>
      <numFmt numFmtId="164" formatCode="#,##0.0"/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22" formatCode="mmm\-yy"/>
      <alignment horizontal="center" vertical="center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8" tint="0.79998168889431442"/>
          <bgColor theme="0" tint="-4.9989318521683403E-2"/>
        </patternFill>
      </fill>
      <alignment horizontal="center" vertical="center"/>
      <border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8" tint="0.79998168889431442"/>
          <bgColor theme="0" tint="-4.9989318521683403E-2"/>
        </patternFill>
      </fill>
      <alignment horizontal="center" vertical="center"/>
      <border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8" tint="0.79998168889431442"/>
          <bgColor theme="0" tint="-4.9989318521683403E-2"/>
        </patternFill>
      </fill>
      <alignment horizontal="center" vertical="center"/>
      <border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8" tint="0.79998168889431442"/>
          <bgColor theme="0" tint="-4.9989318521683403E-2"/>
        </patternFill>
      </fill>
      <alignment horizontal="center" vertical="center"/>
      <border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8" tint="0.79998168889431442"/>
          <bgColor theme="0" tint="-4.9989318521683403E-2"/>
        </patternFill>
      </fill>
      <alignment horizontal="center" vertical="center"/>
      <border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8" tint="0.79998168889431442"/>
          <bgColor theme="0" tint="-4.9989318521683403E-2"/>
        </patternFill>
      </fill>
      <alignment horizontal="center" vertical="center"/>
      <border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8" tint="0.79998168889431442"/>
          <bgColor theme="0" tint="-4.9989318521683403E-2"/>
        </patternFill>
      </fill>
      <alignment horizontal="center" vertical="center"/>
      <border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8" tint="0.79998168889431442"/>
          <bgColor theme="0" tint="-4.9989318521683403E-2"/>
        </patternFill>
      </fill>
      <alignment horizontal="center" vertical="center"/>
      <border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8" tint="0.79998168889431442"/>
          <bgColor theme="0" tint="-4.9989318521683403E-2"/>
        </patternFill>
      </fill>
      <alignment horizontal="center" vertical="center"/>
      <border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8" tint="0.79998168889431442"/>
          <bgColor theme="0" tint="-4.9989318521683403E-2"/>
        </patternFill>
      </fill>
      <alignment horizontal="center" vertical="center"/>
      <border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8" tint="0.79998168889431442"/>
          <bgColor theme="0" tint="-4.9989318521683403E-2"/>
        </patternFill>
      </fill>
      <alignment horizontal="center" vertical="center"/>
      <border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8" tint="0.79998168889431442"/>
          <bgColor theme="0" tint="-4.9989318521683403E-2"/>
        </patternFill>
      </fill>
      <alignment horizontal="center" vertical="center"/>
      <border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8" tint="0.79998168889431442"/>
          <bgColor theme="0" tint="-4.9989318521683403E-2"/>
        </patternFill>
      </fill>
      <alignment horizontal="center" vertical="center"/>
      <border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8" tint="0.79998168889431442"/>
          <bgColor theme="0" tint="-4.9989318521683403E-2"/>
        </patternFill>
      </fill>
      <alignment horizontal="center" vertical="center"/>
      <border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8" tint="0.79998168889431442"/>
          <bgColor theme="0" tint="-4.9989318521683403E-2"/>
        </patternFill>
      </fill>
      <alignment horizontal="center" vertical="center"/>
      <border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8" tint="0.79998168889431442"/>
          <bgColor theme="0" tint="-4.9989318521683403E-2"/>
        </patternFill>
      </fill>
      <alignment horizontal="center" vertical="center"/>
      <border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8" tint="0.79998168889431442"/>
          <bgColor theme="0" tint="-4.9989318521683403E-2"/>
        </patternFill>
      </fill>
      <alignment horizontal="center" vertical="center"/>
      <border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8" tint="0.79998168889431442"/>
          <bgColor theme="0" tint="-4.9989318521683403E-2"/>
        </patternFill>
      </fill>
      <alignment horizontal="center" vertical="center"/>
      <border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8" tint="0.79998168889431442"/>
          <bgColor theme="0" tint="-4.9989318521683403E-2"/>
        </patternFill>
      </fill>
      <alignment horizontal="center" vertical="center"/>
      <border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8" tint="0.79998168889431442"/>
          <bgColor theme="0" tint="-4.9989318521683403E-2"/>
        </patternFill>
      </fill>
      <alignment horizontal="center" vertical="center"/>
      <border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8" tint="0.79998168889431442"/>
          <bgColor theme="0" tint="-4.9989318521683403E-2"/>
        </patternFill>
      </fill>
      <alignment horizontal="center" vertical="center"/>
      <border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8" tint="0.79998168889431442"/>
          <bgColor theme="0" tint="-4.9989318521683403E-2"/>
        </patternFill>
      </fill>
      <alignment horizontal="center" vertical="center"/>
      <border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theme="8" tint="0.79998168889431442"/>
          <bgColor theme="0" tint="-4.9989318521683403E-2"/>
        </patternFill>
      </fill>
      <alignment horizontal="center" vertical="bottom"/>
      <border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border outline="0">
        <top style="thin">
          <color theme="8" tint="0.39997558519241921"/>
        </top>
      </border>
    </dxf>
    <dxf>
      <border outline="0">
        <left style="thin">
          <color theme="8" tint="0.39997558519241921"/>
        </left>
        <top style="thin">
          <color theme="8" tint="0.39997558519241921"/>
        </top>
        <bottom style="thin">
          <color theme="8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theme="8" tint="0.79998168889431442"/>
          <bgColor theme="0" tint="-4.9989318521683403E-2"/>
        </patternFill>
      </fill>
      <alignment horizontal="center" vertical="center"/>
    </dxf>
    <dxf>
      <border outline="0">
        <bottom style="thin">
          <color theme="8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theme="8"/>
          <bgColor theme="6"/>
        </patternFill>
      </fill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bottom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bottom"/>
    </dxf>
    <dxf>
      <alignment horizontal="center" vertical="center"/>
    </dxf>
    <dxf>
      <numFmt numFmtId="164" formatCode="#,##0.0"/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22" formatCode="mmm\-yy"/>
      <alignment horizontal="center" vertical="center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ce 2009"/>
      <sheetName val="SIT@RP"/>
      <sheetName val="OES Dept Graph"/>
      <sheetName val="OSE  (2)"/>
      <sheetName val="OSE "/>
      <sheetName val="Current since 2018"/>
      <sheetName val="Pivot %"/>
      <sheetName val="Recycling Tonnage (2)"/>
      <sheetName val="Recycling Tonnage"/>
      <sheetName val="WDI"/>
      <sheetName val="WDI--X"/>
      <sheetName val="Pivot (Summary-G+R)"/>
      <sheetName val="Waste Reduction Forecast"/>
      <sheetName val="Waste Record Check"/>
      <sheetName val="OSE Report (WDI)"/>
      <sheetName val="WMP-2024"/>
      <sheetName val="2023 (NewFormat)--Outdated"/>
      <sheetName val="2023 (Old)"/>
      <sheetName val="2022"/>
      <sheetName val="2021"/>
      <sheetName val="2020"/>
      <sheetName val="2019"/>
      <sheetName val="2018"/>
      <sheetName val="2017"/>
      <sheetName val="2016"/>
      <sheetName val="20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o Shu Fang" refreshedDate="45917.477370138891" createdVersion="8" refreshedVersion="8" minRefreshableVersion="3" recordCount="19" xr:uid="{00000000-000A-0000-FFFF-FFFF00000000}">
  <cacheSource type="worksheet">
    <worksheetSource name="Table3[[FY]:[Recycled Waste (kg)]]"/>
  </cacheSource>
  <cacheFields count="10">
    <cacheField name="FY" numFmtId="44">
      <sharedItems count="3">
        <s v="FY2023"/>
        <s v="FY2024"/>
        <s v="FY2025"/>
      </sharedItems>
    </cacheField>
    <cacheField name="Month" numFmtId="44">
      <sharedItems containsSemiMixedTypes="0" containsNonDate="0" containsDate="1" containsString="0" minDate="2024-01-01T00:00:00" maxDate="2025-12-02T00:00:00" count="24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 u="1"/>
        <d v="2025-09-01T00:00:00" u="1"/>
        <d v="2025-10-01T00:00:00" u="1"/>
        <d v="2025-11-01T00:00:00" u="1"/>
        <d v="2025-12-01T00:00:00" u="1"/>
      </sharedItems>
    </cacheField>
    <cacheField name="% (General Waste)" numFmtId="10">
      <sharedItems containsSemiMixedTypes="0" containsString="0" containsNumber="1" minValue="0.58123004453119298" maxValue="0.85055783194272816"/>
    </cacheField>
    <cacheField name="% (Recycled Waste)" numFmtId="10">
      <sharedItems containsSemiMixedTypes="0" containsString="0" containsNumber="1" minValue="0.14944216805727181" maxValue="0.41876995546880708"/>
    </cacheField>
    <cacheField name="Total Waste (kg)" numFmtId="3">
      <sharedItems containsSemiMixedTypes="0" containsString="0" containsNumber="1" minValue="35925.620000000003" maxValue="65442.879999999997"/>
    </cacheField>
    <cacheField name="General Waste (kg)" numFmtId="3">
      <sharedItems containsSemiMixedTypes="0" containsString="0" containsNumber="1" containsInteger="1" minValue="27040" maxValue="54130"/>
    </cacheField>
    <cacheField name="#1 _x000a_Compactor" numFmtId="3">
      <sharedItems containsSemiMixedTypes="0" containsString="0" containsNumber="1" containsInteger="1" minValue="10000" maxValue="29000"/>
    </cacheField>
    <cacheField name="#2 _x000a_Bulk Bins" numFmtId="3">
      <sharedItems containsSemiMixedTypes="0" containsString="0" containsNumber="1" containsInteger="1" minValue="11800" maxValue="28330"/>
    </cacheField>
    <cacheField name="#3 _x000a_OTC" numFmtId="0">
      <sharedItems containsMixedTypes="1" containsNumber="1" containsInteger="1" minValue="0" maxValue="3240"/>
    </cacheField>
    <cacheField name="Recycled Waste (kg)" numFmtId="3">
      <sharedItems containsSemiMixedTypes="0" containsString="0" containsNumber="1" minValue="6736.3" maxValue="21798.4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9">
  <r>
    <x v="0"/>
    <x v="0"/>
    <n v="0.8267271660199192"/>
    <n v="0.1732728339800808"/>
    <n v="57080.5"/>
    <n v="47190"/>
    <n v="24890"/>
    <n v="22300"/>
    <s v="NIL"/>
    <n v="9890.5"/>
  </r>
  <r>
    <x v="0"/>
    <x v="1"/>
    <n v="0.7912536102387755"/>
    <n v="0.2087463897612244"/>
    <n v="45516.38"/>
    <n v="36015"/>
    <n v="15830"/>
    <n v="20185"/>
    <s v="&lt;&lt;"/>
    <n v="9501.380000000001"/>
  </r>
  <r>
    <x v="0"/>
    <x v="2"/>
    <n v="0.7949320688273148"/>
    <n v="0.2050679311726852"/>
    <n v="44412.6"/>
    <n v="35305"/>
    <n v="12200"/>
    <n v="23105"/>
    <s v="&lt;&lt;"/>
    <n v="9107.6"/>
  </r>
  <r>
    <x v="1"/>
    <x v="3"/>
    <n v="0.7969048382971604"/>
    <n v="0.2030951617028396"/>
    <n v="47935.46"/>
    <n v="38200"/>
    <n v="17840"/>
    <n v="20360"/>
    <s v="NIL"/>
    <n v="9735.459999999999"/>
  </r>
  <r>
    <x v="1"/>
    <x v="4"/>
    <n v="0.8373436225102705"/>
    <n v="0.1626563774897294"/>
    <n v="63056.55"/>
    <n v="52800"/>
    <n v="24470"/>
    <n v="28330"/>
    <s v="NIL"/>
    <n v="10256.55"/>
  </r>
  <r>
    <x v="1"/>
    <x v="5"/>
    <n v="0.6328812793588976"/>
    <n v="0.3671187206411025"/>
    <n v="46659.62"/>
    <n v="29530"/>
    <n v="12210"/>
    <n v="17320"/>
    <s v="NIL"/>
    <n v="17129.62"/>
  </r>
  <r>
    <x v="1"/>
    <x v="6"/>
    <n v="0.7757910409810815"/>
    <n v="0.2242089590189185"/>
    <n v="65442.88"/>
    <n v="50770"/>
    <n v="24840"/>
    <n v="25930"/>
    <s v="NIL"/>
    <n v="14672.88"/>
  </r>
  <r>
    <x v="1"/>
    <x v="7"/>
    <n v="0.8098294021441121"/>
    <n v="0.1901705978558878"/>
    <n v="50498.29"/>
    <n v="40895"/>
    <n v="17530"/>
    <n v="22285"/>
    <n v="1080"/>
    <n v="9603.290000000001"/>
  </r>
  <r>
    <x v="1"/>
    <x v="8"/>
    <n v="0.6056219582909131"/>
    <n v="0.3943780417090869"/>
    <n v="52392.42"/>
    <n v="31730"/>
    <n v="11150"/>
    <n v="18480"/>
    <n v="2100"/>
    <n v="20662.42"/>
  </r>
  <r>
    <x v="1"/>
    <x v="9"/>
    <n v="0.8390977591050147"/>
    <n v="0.1609022408949853"/>
    <n v="50995.25"/>
    <n v="42790"/>
    <n v="19510"/>
    <n v="23280"/>
    <s v="NIL"/>
    <n v="8205.25"/>
  </r>
  <r>
    <x v="1"/>
    <x v="10"/>
    <n v="0.8391784887531789"/>
    <n v="0.1608215112468211"/>
    <n v="64503.56"/>
    <n v="54130"/>
    <n v="23620"/>
    <n v="28300"/>
    <n v="2210"/>
    <n v="10373.56"/>
  </r>
  <r>
    <x v="1"/>
    <x v="11"/>
    <n v="0.7188929348294354"/>
    <n v="0.2811070651705646"/>
    <n v="43407.02"/>
    <n v="31205"/>
    <n v="12470"/>
    <n v="15555"/>
    <n v="3180"/>
    <n v="12202.02"/>
  </r>
  <r>
    <x v="1"/>
    <x v="12"/>
    <n v="0.7972796320284385"/>
    <n v="0.2027203679715615"/>
    <n v="50534.34"/>
    <n v="40290"/>
    <n v="21180"/>
    <n v="17910"/>
    <n v="1200"/>
    <n v="10244.34"/>
  </r>
  <r>
    <x v="1"/>
    <x v="13"/>
    <n v="0.8135817704783455"/>
    <n v="0.1864182295216546"/>
    <n v="40831.79"/>
    <n v="33220"/>
    <n v="15820"/>
    <n v="17400"/>
    <s v="NIL"/>
    <n v="7611.79"/>
  </r>
  <r>
    <x v="1"/>
    <x v="14"/>
    <n v="0.7526662031163277"/>
    <n v="0.2473337968836724"/>
    <n v="35925.62"/>
    <n v="27040"/>
    <n v="10000"/>
    <n v="13800"/>
    <n v="3240"/>
    <n v="8885.619999999999"/>
  </r>
  <r>
    <x v="2"/>
    <x v="15"/>
    <n v="0.8505578319427282"/>
    <n v="0.1494421680572718"/>
    <n v="45076.3"/>
    <n v="38340"/>
    <n v="25440"/>
    <n v="11800"/>
    <n v="1100"/>
    <n v="6736.3"/>
  </r>
  <r>
    <x v="2"/>
    <x v="16"/>
    <n v="0.8461300093321845"/>
    <n v="0.1538699906678154"/>
    <n v="55828.3"/>
    <n v="47238"/>
    <n v="27368"/>
    <n v="19170"/>
    <n v="700"/>
    <n v="8590.299999999999"/>
  </r>
  <r>
    <x v="2"/>
    <x v="17"/>
    <n v="0.581230044531193"/>
    <n v="0.4187699554688071"/>
    <n v="52053.4"/>
    <n v="30255"/>
    <n v="17075"/>
    <n v="13180"/>
    <n v="0"/>
    <n v="21798.4"/>
  </r>
  <r>
    <x v="2"/>
    <x v="18"/>
    <n v="0.8503652873495223"/>
    <n v="0.1496347126504777"/>
    <n v="52065.86"/>
    <n v="44275"/>
    <n v="29000"/>
    <n v="14100"/>
    <n v="1175"/>
    <n v="7790.86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2" cacheId="0" applyNumberFormats="0" applyBorderFormats="0" applyFontFormats="0" applyPatternFormats="0" applyAlignmentFormats="0" applyWidthHeightFormats="1" dataCaption="Values" updatedVersion="8" minRefreshableVersion="3" rowGrandTotals="0" colGrandTotals="0" createdVersion="8" indent="0" outline="1" outlineData="1" multipleFieldFilters="0" chartFormat="129" rowHeaderCaption="FY">
  <location ref="A2:E24" firstHeaderRow="0" firstDataRow="1" firstDataCol="1"/>
  <pivotFields count="10">
    <pivotField axis="axisRow" showAll="0">
      <items count="4">
        <item x="0"/>
        <item x="1"/>
        <item x="2"/>
        <item t="default"/>
      </items>
    </pivotField>
    <pivotField axis="axisRow" numFmtId="4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m="1" x="19"/>
        <item m="1" x="20"/>
        <item m="1" x="21"/>
        <item m="1" x="22"/>
        <item m="1" x="23"/>
        <item t="default"/>
      </items>
    </pivotField>
    <pivotField dataField="1" showAll="0"/>
    <pivotField dataField="1" showAll="0"/>
    <pivotField showAll="0"/>
    <pivotField dataField="1" numFmtId="3" showAll="0"/>
    <pivotField showAll="0"/>
    <pivotField showAll="0"/>
    <pivotField showAll="0"/>
    <pivotField dataField="1" showAll="0"/>
  </pivotFields>
  <rowFields count="2">
    <field x="0"/>
    <field x="1"/>
  </rowFields>
  <rowItems count="22">
    <i>
      <x/>
    </i>
    <i r="1">
      <x/>
    </i>
    <i r="1">
      <x v="1"/>
    </i>
    <i r="1">
      <x v="2"/>
    </i>
    <i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"/>
    </i>
    <i r="1">
      <x v="15"/>
    </i>
    <i r="1">
      <x v="16"/>
    </i>
    <i r="1">
      <x v="17"/>
    </i>
    <i r="1">
      <x v="18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 General Waste (kg)" fld="5" baseField="0" baseItem="0" numFmtId="3"/>
    <dataField name=" Recycled Waste (kg)" fld="9" baseField="0" baseItem="5"/>
    <dataField name=" % (General Waste)" fld="2" subtotal="average" baseField="0" baseItem="5" numFmtId="9"/>
    <dataField name=" % (Recycled Waste)" fld="3" subtotal="average" baseField="0" baseItem="5" numFmtId="9"/>
  </dataFields>
  <formats count="19">
    <format dxfId="18">
      <pivotArea outline="0" collapsedLevelsAreSubtotals="1" fieldPosition="0"/>
    </format>
    <format dxfId="17">
      <pivotArea field="0" type="button" dataOnly="0" labelOnly="1" outline="0" axis="axisRow" fieldPosition="0"/>
    </format>
    <format dxfId="16">
      <pivotArea dataOnly="0" labelOnly="1" fieldPosition="0">
        <references count="2">
          <reference field="0" count="1" selected="0">
            <x v="1"/>
          </reference>
          <reference field="1" count="3">
            <x v="3"/>
            <x v="4"/>
            <x v="5"/>
          </reference>
        </references>
      </pivotArea>
    </format>
    <format dxfId="15">
      <pivotArea field="0" type="button" dataOnly="0" labelOnly="1" outline="0" axis="axisRow" fieldPosition="0"/>
    </format>
    <format dxfId="14">
      <pivotArea dataOnly="0" labelOnly="1" fieldPosition="0">
        <references count="1">
          <reference field="0" count="0"/>
        </references>
      </pivotArea>
    </format>
    <format dxfId="13">
      <pivotArea dataOnly="0" labelOnly="1" grandRow="1" outline="0" fieldPosition="0"/>
    </format>
    <format dxfId="12">
      <pivotArea outline="0" collapsedLevelsAreSubtotals="1" fieldPosition="0"/>
    </format>
    <format dxfId="11">
      <pivotArea dataOnly="0" labelOnly="1" fieldPosition="0">
        <references count="2">
          <reference field="0" count="1" selected="0">
            <x v="1"/>
          </reference>
          <reference field="1" count="1">
            <x v="6"/>
          </reference>
        </references>
      </pivotArea>
    </format>
    <format dxfId="10">
      <pivotArea dataOnly="0" labelOnly="1" fieldPosition="0">
        <references count="2">
          <reference field="0" count="1" selected="0">
            <x v="1"/>
          </reference>
          <reference field="1" count="2">
            <x v="7"/>
            <x v="8"/>
          </reference>
        </references>
      </pivotArea>
    </format>
    <format dxfId="9">
      <pivotArea dataOnly="0" labelOnly="1" fieldPosition="0">
        <references count="2">
          <reference field="0" count="1" selected="0">
            <x v="1"/>
          </reference>
          <reference field="1" count="1">
            <x v="9"/>
          </reference>
        </references>
      </pivotArea>
    </format>
    <format dxfId="8">
      <pivotArea dataOnly="0" labelOnly="1" fieldPosition="0">
        <references count="2">
          <reference field="0" count="1" selected="0">
            <x v="1"/>
          </reference>
          <reference field="1" count="2">
            <x v="10"/>
            <x v="11"/>
          </reference>
        </references>
      </pivotArea>
    </format>
    <format dxfId="7">
      <pivotArea dataOnly="0" labelOnly="1" fieldPosition="0">
        <references count="2">
          <reference field="0" count="1" selected="0">
            <x v="1"/>
          </reference>
          <reference field="1" count="2">
            <x v="12"/>
            <x v="13"/>
          </reference>
        </references>
      </pivotArea>
    </format>
    <format dxfId="6">
      <pivotArea field="0" type="button" dataOnly="0" labelOnly="1" outline="0" axis="axisRow" fieldPosition="0"/>
    </format>
    <format dxfId="5">
      <pivotArea field="0" type="button" dataOnly="0" labelOnly="1" outline="0" axis="axisRow" fieldPosition="0"/>
    </format>
    <format dxfId="4">
      <pivotArea collapsedLevelsAreSubtotals="1" fieldPosition="0">
        <references count="1">
          <reference field="0" count="1">
            <x v="0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0">
      <pivotArea field="0" type="button" dataOnly="0" labelOnly="1" outline="0" axis="axisRow" fieldPosition="0"/>
    </format>
  </formats>
  <chartFormats count="10">
    <chartFormat chart="7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9" format="4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79" format="5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79" format="6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79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9" format="9">
      <pivotArea type="data" outline="0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chartFormat>
    <chartFormat chart="79" format="10">
      <pivotArea type="data" outline="0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chartFormat>
    <chartFormat chart="79" format="11">
      <pivotArea type="data" outline="0" fieldPosition="0">
        <references count="2">
          <reference field="4294967294" count="1" selected="0">
            <x v="3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6" displayName="Table26" ref="C2:D31" totalsRowShown="0" headerRowDxfId="160" headerRowBorderDxfId="159" tableBorderDxfId="158" totalsRowBorderDxfId="157">
  <autoFilter ref="C2:D31" xr:uid="{00000000-0009-0000-0100-000001000000}"/>
  <tableColumns count="2">
    <tableColumn id="1" xr3:uid="{00000000-0010-0000-0000-000001000000}" name="Month" dataDxfId="156"/>
    <tableColumn id="2" xr3:uid="{00000000-0010-0000-0000-000002000000}" name="kWh (SP Metered)" dataDxfId="155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4:X16" totalsRowShown="0" headerRowDxfId="154">
  <autoFilter ref="B4:X16" xr:uid="{00000000-0009-0000-0100-000002000000}"/>
  <tableColumns count="23">
    <tableColumn id="1" xr3:uid="{00000000-0010-0000-0100-000001000000}" name="BUILDING NAME" dataDxfId="153"/>
    <tableColumn id="2" xr3:uid="{00000000-0010-0000-0100-000002000000}" name="ECMC " dataDxfId="152" dataCellStyle="Comma"/>
    <tableColumn id="3" xr3:uid="{00000000-0010-0000-0100-000003000000}" name="RPC" dataDxfId="151" dataCellStyle="Comma"/>
    <tableColumn id="4" xr3:uid="{00000000-0010-0000-0100-000004000000}" name="TRCC" dataDxfId="150" dataCellStyle="Comma"/>
    <tableColumn id="5" xr3:uid="{00000000-0010-0000-0100-000005000000}" name="E1" dataDxfId="149" dataCellStyle="Comma"/>
    <tableColumn id="6" xr3:uid="{00000000-0010-0000-0100-000006000000}" name="E2" dataDxfId="148" dataCellStyle="Comma"/>
    <tableColumn id="7" xr3:uid="{00000000-0010-0000-0100-000007000000}" name="E3 (incl Agora Library)" dataDxfId="147" dataCellStyle="Comma"/>
    <tableColumn id="8" xr3:uid="{00000000-0010-0000-0100-000008000000}" name="E4" dataDxfId="146" dataCellStyle="Comma"/>
    <tableColumn id="9" xr3:uid="{00000000-0010-0000-0100-000009000000}" name="E5" dataDxfId="145" dataCellStyle="Comma"/>
    <tableColumn id="10" xr3:uid="{00000000-0010-0000-0100-00000A000000}" name="E6" dataDxfId="144" dataCellStyle="Comma"/>
    <tableColumn id="11" xr3:uid="{00000000-0010-0000-0100-00000B000000}" name="W1" dataDxfId="143" dataCellStyle="Comma"/>
    <tableColumn id="12" xr3:uid="{00000000-0010-0000-0100-00000C000000}" name="W2" dataDxfId="142" dataCellStyle="Comma"/>
    <tableColumn id="13" xr3:uid="{00000000-0010-0000-0100-00000D000000}" name="W3" dataDxfId="141" dataCellStyle="Comma"/>
    <tableColumn id="14" xr3:uid="{00000000-0010-0000-0100-00000E000000}" name="W4, Agora Hall" dataDxfId="140" dataCellStyle="Comma"/>
    <tableColumn id="15" xr3:uid="{00000000-0010-0000-0100-00000F000000}" name="W5" dataDxfId="139" dataCellStyle="Comma"/>
    <tableColumn id="16" xr3:uid="{00000000-0010-0000-0100-000010000000}" name="W6" dataDxfId="138" dataCellStyle="Comma"/>
    <tableColumn id="18" xr3:uid="{00000000-0010-0000-0100-000012000000}" name="Sports Complex " dataDxfId="137" dataCellStyle="Comma"/>
    <tableColumn id="19" xr3:uid="{00000000-0010-0000-0100-000013000000}" name="The Arch (1&amp;2)" dataDxfId="136" dataCellStyle="Comma"/>
    <tableColumn id="20" xr3:uid="{00000000-0010-0000-0100-000014000000}" name="Green House" dataDxfId="135" dataCellStyle="Comma"/>
    <tableColumn id="21" xr3:uid="{00000000-0010-0000-0100-000015000000}" name="Blk 43" dataDxfId="134" dataCellStyle="Comma"/>
    <tableColumn id="22" xr3:uid="{00000000-0010-0000-0100-000016000000}" name="RPIC" dataDxfId="133" dataCellStyle="Comma"/>
    <tableColumn id="23" xr3:uid="{00000000-0010-0000-0100-000017000000}" name="XLC" dataDxfId="132" dataCellStyle="Comma"/>
    <tableColumn id="24" xr3:uid="{00000000-0010-0000-0100-000018000000}" name="ALC" dataDxfId="131" dataCellStyle="Comma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4" displayName="Table24" ref="B19:X31" totalsRowShown="0" headerRowDxfId="130">
  <autoFilter ref="B19:X31" xr:uid="{00000000-0009-0000-0100-000003000000}"/>
  <tableColumns count="23">
    <tableColumn id="1" xr3:uid="{00000000-0010-0000-0200-000001000000}" name="BUILDING NAME" dataDxfId="129"/>
    <tableColumn id="2" xr3:uid="{00000000-0010-0000-0200-000002000000}" name="ECMC " dataDxfId="128" dataCellStyle="Comma"/>
    <tableColumn id="3" xr3:uid="{00000000-0010-0000-0200-000003000000}" name="RPC" dataDxfId="127" dataCellStyle="Comma"/>
    <tableColumn id="4" xr3:uid="{00000000-0010-0000-0200-000004000000}" name="TRCC" dataDxfId="126" dataCellStyle="Comma"/>
    <tableColumn id="5" xr3:uid="{00000000-0010-0000-0200-000005000000}" name="E1" dataDxfId="125" dataCellStyle="Comma"/>
    <tableColumn id="6" xr3:uid="{00000000-0010-0000-0200-000006000000}" name="E2" dataDxfId="124" dataCellStyle="Comma"/>
    <tableColumn id="7" xr3:uid="{00000000-0010-0000-0200-000007000000}" name="E3 (incl Agora Library)" dataDxfId="123" dataCellStyle="Comma"/>
    <tableColumn id="8" xr3:uid="{00000000-0010-0000-0200-000008000000}" name="E4" dataDxfId="122" dataCellStyle="Comma"/>
    <tableColumn id="9" xr3:uid="{00000000-0010-0000-0200-000009000000}" name="E5" dataDxfId="121" dataCellStyle="Comma"/>
    <tableColumn id="10" xr3:uid="{00000000-0010-0000-0200-00000A000000}" name="E6" dataDxfId="120" dataCellStyle="Comma"/>
    <tableColumn id="11" xr3:uid="{00000000-0010-0000-0200-00000B000000}" name="W1" dataDxfId="119" dataCellStyle="Comma"/>
    <tableColumn id="12" xr3:uid="{00000000-0010-0000-0200-00000C000000}" name="W2" dataDxfId="118" dataCellStyle="Comma"/>
    <tableColumn id="13" xr3:uid="{00000000-0010-0000-0200-00000D000000}" name="W3" dataDxfId="117" dataCellStyle="Comma"/>
    <tableColumn id="14" xr3:uid="{00000000-0010-0000-0200-00000E000000}" name="W4, Agora Hall" dataDxfId="116" dataCellStyle="Comma"/>
    <tableColumn id="15" xr3:uid="{00000000-0010-0000-0200-00000F000000}" name="W5" dataDxfId="115" dataCellStyle="Comma"/>
    <tableColumn id="16" xr3:uid="{00000000-0010-0000-0200-000010000000}" name="W6" dataDxfId="114" dataCellStyle="Comma"/>
    <tableColumn id="18" xr3:uid="{00000000-0010-0000-0200-000012000000}" name="Sports Complex " dataDxfId="113" dataCellStyle="Comma"/>
    <tableColumn id="19" xr3:uid="{00000000-0010-0000-0200-000013000000}" name="The Arch (1&amp;2)" dataDxfId="112" dataCellStyle="Comma"/>
    <tableColumn id="20" xr3:uid="{00000000-0010-0000-0200-000014000000}" name="Green House" dataDxfId="111" dataCellStyle="Comma"/>
    <tableColumn id="21" xr3:uid="{00000000-0010-0000-0200-000015000000}" name="Blk 43" dataDxfId="110" dataCellStyle="Comma"/>
    <tableColumn id="22" xr3:uid="{00000000-0010-0000-0200-000016000000}" name="RPIC" dataDxfId="109" dataCellStyle="Comma"/>
    <tableColumn id="23" xr3:uid="{00000000-0010-0000-0200-000017000000}" name="XLC" dataDxfId="108" dataCellStyle="Comma"/>
    <tableColumn id="24" xr3:uid="{00000000-0010-0000-0200-000018000000}" name="ALC" dataDxfId="107" dataCellStyle="Comma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5" displayName="Table5" ref="B35:X47" totalsRowShown="0" headerRowDxfId="106" dataDxfId="104" headerRowBorderDxfId="105" tableBorderDxfId="103" totalsRowBorderDxfId="102" dataCellStyle="Comma">
  <autoFilter ref="B35:X47" xr:uid="{00000000-0009-0000-0100-000004000000}"/>
  <tableColumns count="23">
    <tableColumn id="1" xr3:uid="{00000000-0010-0000-0300-000001000000}" name="January" dataDxfId="101"/>
    <tableColumn id="2" xr3:uid="{00000000-0010-0000-0300-000002000000}" name=" 378,263.86 " dataDxfId="100" dataCellStyle="Comma"/>
    <tableColumn id="3" xr3:uid="{00000000-0010-0000-0300-000003000000}" name=" 52,335.64 " dataDxfId="99" dataCellStyle="Comma"/>
    <tableColumn id="4" xr3:uid="{00000000-0010-0000-0300-000004000000}" name=" 76,810.86 " dataDxfId="98" dataCellStyle="Comma"/>
    <tableColumn id="5" xr3:uid="{00000000-0010-0000-0300-000005000000}" name=" 101,288.58 " dataDxfId="97" dataCellStyle="Comma"/>
    <tableColumn id="6" xr3:uid="{00000000-0010-0000-0300-000006000000}" name=" 32,462.05 " dataDxfId="96" dataCellStyle="Comma"/>
    <tableColumn id="7" xr3:uid="{00000000-0010-0000-0300-000007000000}" name=" 60,404.36 " dataDxfId="95" dataCellStyle="Comma"/>
    <tableColumn id="8" xr3:uid="{00000000-0010-0000-0300-000008000000}" name=" 53,690.55 " dataDxfId="94" dataCellStyle="Comma"/>
    <tableColumn id="9" xr3:uid="{00000000-0010-0000-0300-000009000000}" name=" 66,005.74 " dataDxfId="93" dataCellStyle="Comma"/>
    <tableColumn id="10" xr3:uid="{00000000-0010-0000-0300-00000A000000}" name=" 36,043.46 " dataDxfId="92" dataCellStyle="Comma"/>
    <tableColumn id="11" xr3:uid="{00000000-0010-0000-0300-00000B000000}" name=" 27,418.32 " dataDxfId="91" dataCellStyle="Comma"/>
    <tableColumn id="12" xr3:uid="{00000000-0010-0000-0300-00000C000000}" name=" 78,894.93 " dataDxfId="90" dataCellStyle="Comma"/>
    <tableColumn id="13" xr3:uid="{00000000-0010-0000-0300-00000D000000}" name=" 40,006.82 " dataDxfId="89" dataCellStyle="Comma"/>
    <tableColumn id="14" xr3:uid="{00000000-0010-0000-0300-00000E000000}" name=" 84,338.97 " dataDxfId="88" dataCellStyle="Comma"/>
    <tableColumn id="15" xr3:uid="{00000000-0010-0000-0300-00000F000000}" name=" 51,983.22 " dataDxfId="87" dataCellStyle="Comma"/>
    <tableColumn id="16" xr3:uid="{00000000-0010-0000-0300-000010000000}" name=" 57,408.22 " dataDxfId="86" dataCellStyle="Comma"/>
    <tableColumn id="17" xr3:uid="{00000000-0010-0000-0300-000011000000}" name=" 60,832.52 " dataDxfId="85" dataCellStyle="Comma"/>
    <tableColumn id="18" xr3:uid="{00000000-0010-0000-0300-000012000000}" name=" 22,874.31 " dataDxfId="84" dataCellStyle="Comma"/>
    <tableColumn id="19" xr3:uid="{00000000-0010-0000-0300-000013000000}" name=" 18,344.56 " dataDxfId="83" dataCellStyle="Comma"/>
    <tableColumn id="20" xr3:uid="{00000000-0010-0000-0300-000014000000}" name=" 92,567.44 " dataDxfId="82" dataCellStyle="Comma"/>
    <tableColumn id="21" xr3:uid="{00000000-0010-0000-0300-000015000000}" name=" 46,612.86 " dataDxfId="81" dataCellStyle="Comma"/>
    <tableColumn id="22" xr3:uid="{00000000-0010-0000-0300-000016000000}" name=" 1,172.52 " dataDxfId="80" dataCellStyle="Comma"/>
    <tableColumn id="23" xr3:uid="{00000000-0010-0000-0300-000017000000}" name=" 354.72 " dataDxfId="79" dataCellStyle="Comma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262" displayName="Table262" ref="C2:F31" totalsRowShown="0" headerRowDxfId="78" headerRowBorderDxfId="77" tableBorderDxfId="76" totalsRowBorderDxfId="75">
  <autoFilter ref="C2:F31" xr:uid="{00000000-0009-0000-0100-000005000000}"/>
  <tableColumns count="4">
    <tableColumn id="1" xr3:uid="{00000000-0010-0000-0400-000001000000}" name="Month" dataDxfId="74"/>
    <tableColumn id="2" xr3:uid="{00000000-0010-0000-0400-000002000000}" name="Cu3 (Portable Water)" dataDxfId="73"/>
    <tableColumn id="3" xr3:uid="{00000000-0010-0000-0400-000003000000}" name="Cu3 (NEWater)" dataDxfId="72"/>
    <tableColumn id="4" xr3:uid="{00000000-0010-0000-0400-000004000000}" name="Cu3 (Total)" dataDxfId="71">
      <calculatedColumnFormula>Table262[[#This Row],[Cu3 (Portable Water)]]+Table262[[#This Row],[Cu3 (NEWater)]]</calculatedColumnFormula>
    </tableColumn>
  </tableColumns>
  <tableStyleInfo name="TableStyleLight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247" displayName="Table247" ref="B3:V15" totalsRowShown="0" headerRowDxfId="70">
  <autoFilter ref="B3:V15" xr:uid="{00000000-0009-0000-0100-000006000000}"/>
  <tableColumns count="21">
    <tableColumn id="1" xr3:uid="{00000000-0010-0000-0500-000001000000}" name="Month" dataDxfId="69"/>
    <tableColumn id="2" xr3:uid="{00000000-0010-0000-0500-000002000000}" name="E1" dataDxfId="68" dataCellStyle="Comma"/>
    <tableColumn id="3" xr3:uid="{00000000-0010-0000-0500-000003000000}" name="E2" dataDxfId="67" dataCellStyle="Comma"/>
    <tableColumn id="4" xr3:uid="{00000000-0010-0000-0500-000004000000}" name="E3" dataDxfId="66" dataCellStyle="Comma"/>
    <tableColumn id="5" xr3:uid="{00000000-0010-0000-0500-000005000000}" name="E4" dataDxfId="65" dataCellStyle="Comma"/>
    <tableColumn id="6" xr3:uid="{00000000-0010-0000-0500-000006000000}" name="E5" dataDxfId="64" dataCellStyle="Comma"/>
    <tableColumn id="7" xr3:uid="{00000000-0010-0000-0500-000007000000}" name="E6" dataDxfId="63" dataCellStyle="Comma"/>
    <tableColumn id="8" xr3:uid="{00000000-0010-0000-0500-000008000000}" name="W1" dataDxfId="62" dataCellStyle="Comma"/>
    <tableColumn id="9" xr3:uid="{00000000-0010-0000-0500-000009000000}" name="W2" dataDxfId="61" dataCellStyle="Comma"/>
    <tableColumn id="10" xr3:uid="{00000000-0010-0000-0500-00000A000000}" name="W3" dataDxfId="60" dataCellStyle="Comma"/>
    <tableColumn id="11" xr3:uid="{00000000-0010-0000-0500-00000B000000}" name="W4" dataDxfId="59" dataCellStyle="Comma"/>
    <tableColumn id="12" xr3:uid="{00000000-0010-0000-0500-00000C000000}" name="W5" dataDxfId="58" dataCellStyle="Comma"/>
    <tableColumn id="13" xr3:uid="{00000000-0010-0000-0500-00000D000000}" name="W6" dataDxfId="57" dataCellStyle="Comma"/>
    <tableColumn id="14" xr3:uid="{00000000-0010-0000-0500-00000E000000}" name="RPC" dataDxfId="56" dataCellStyle="Comma"/>
    <tableColumn id="15" xr3:uid="{00000000-0010-0000-0500-00000F000000}" name="TRCC" dataDxfId="55" dataCellStyle="Comma"/>
    <tableColumn id="16" xr3:uid="{00000000-0010-0000-0500-000010000000}" name="SIT" dataDxfId="54" dataCellStyle="Comma"/>
    <tableColumn id="17" xr3:uid="{00000000-0010-0000-0500-000011000000}" name="RPIC" dataDxfId="53" dataCellStyle="Comma"/>
    <tableColumn id="18" xr3:uid="{00000000-0010-0000-0500-000012000000}" name="ECMC" dataDxfId="52" dataCellStyle="Comma"/>
    <tableColumn id="19" xr3:uid="{00000000-0010-0000-0500-000013000000}" name="SPORT HALL" dataDxfId="51" dataCellStyle="Comma"/>
    <tableColumn id="20" xr3:uid="{00000000-0010-0000-0500-000014000000}" name="GREEN HOUSE" dataDxfId="50" dataCellStyle="Comma"/>
    <tableColumn id="21" xr3:uid="{00000000-0010-0000-0500-000015000000}" name="The ARCH" dataDxfId="49" dataCellStyle="Comma"/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2479" displayName="Table2479" ref="B18:V30" totalsRowShown="0" headerRowDxfId="48">
  <autoFilter ref="B18:V30" xr:uid="{00000000-0009-0000-0100-000007000000}"/>
  <tableColumns count="21">
    <tableColumn id="1" xr3:uid="{00000000-0010-0000-0600-000001000000}" name="Month" dataDxfId="47"/>
    <tableColumn id="2" xr3:uid="{00000000-0010-0000-0600-000002000000}" name="E1" dataDxfId="46" dataCellStyle="Comma"/>
    <tableColumn id="3" xr3:uid="{00000000-0010-0000-0600-000003000000}" name="E2" dataDxfId="45" dataCellStyle="Comma"/>
    <tableColumn id="4" xr3:uid="{00000000-0010-0000-0600-000004000000}" name="E3" dataDxfId="44" dataCellStyle="Comma"/>
    <tableColumn id="5" xr3:uid="{00000000-0010-0000-0600-000005000000}" name="E4" dataDxfId="43" dataCellStyle="Comma"/>
    <tableColumn id="6" xr3:uid="{00000000-0010-0000-0600-000006000000}" name="E5" dataDxfId="42" dataCellStyle="Comma"/>
    <tableColumn id="7" xr3:uid="{00000000-0010-0000-0600-000007000000}" name="E6" dataDxfId="41" dataCellStyle="Comma"/>
    <tableColumn id="8" xr3:uid="{00000000-0010-0000-0600-000008000000}" name="W1" dataDxfId="40" dataCellStyle="Comma"/>
    <tableColumn id="9" xr3:uid="{00000000-0010-0000-0600-000009000000}" name="W2" dataDxfId="39" dataCellStyle="Comma"/>
    <tableColumn id="10" xr3:uid="{00000000-0010-0000-0600-00000A000000}" name="W3" dataDxfId="38" dataCellStyle="Comma"/>
    <tableColumn id="11" xr3:uid="{00000000-0010-0000-0600-00000B000000}" name="W4" dataDxfId="37" dataCellStyle="Comma"/>
    <tableColumn id="12" xr3:uid="{00000000-0010-0000-0600-00000C000000}" name="W5" dataDxfId="36" dataCellStyle="Comma"/>
    <tableColumn id="13" xr3:uid="{00000000-0010-0000-0600-00000D000000}" name="W6" dataDxfId="35" dataCellStyle="Comma"/>
    <tableColumn id="14" xr3:uid="{00000000-0010-0000-0600-00000E000000}" name="RPC" dataDxfId="34" dataCellStyle="Comma"/>
    <tableColumn id="15" xr3:uid="{00000000-0010-0000-0600-00000F000000}" name="TRCC" dataDxfId="33" dataCellStyle="Comma"/>
    <tableColumn id="16" xr3:uid="{00000000-0010-0000-0600-000010000000}" name="SIT" dataDxfId="32" dataCellStyle="Comma"/>
    <tableColumn id="17" xr3:uid="{00000000-0010-0000-0600-000011000000}" name="RPIC" dataDxfId="31" dataCellStyle="Comma"/>
    <tableColumn id="18" xr3:uid="{00000000-0010-0000-0600-000012000000}" name="ECMC" dataDxfId="30" dataCellStyle="Comma"/>
    <tableColumn id="19" xr3:uid="{00000000-0010-0000-0600-000013000000}" name="SPORT HALL" dataDxfId="29" dataCellStyle="Comma"/>
    <tableColumn id="20" xr3:uid="{00000000-0010-0000-0600-000014000000}" name="GREEN HOUSE" dataDxfId="28" dataCellStyle="Comma"/>
    <tableColumn id="21" xr3:uid="{00000000-0010-0000-0600-000015000000}" name="The ARCH" dataDxfId="27" dataCellStyle="Comma"/>
  </tableColumns>
  <tableStyleInfo name="TableStyleLight2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2628" displayName="Table2628" ref="C2:F31" totalsRowShown="0" headerRowDxfId="26" headerRowBorderDxfId="25" tableBorderDxfId="24" totalsRowBorderDxfId="23">
  <autoFilter ref="C2:F31" xr:uid="{00000000-0009-0000-0100-000008000000}"/>
  <tableColumns count="4">
    <tableColumn id="1" xr3:uid="{00000000-0010-0000-0700-000001000000}" name="Month" dataDxfId="22"/>
    <tableColumn id="2" xr3:uid="{00000000-0010-0000-0700-000002000000}" name="Urban Renewables" dataDxfId="21"/>
    <tableColumn id="3" xr3:uid="{00000000-0010-0000-0700-000003000000}" name="Green House (KWh)" dataDxfId="20"/>
    <tableColumn id="4" xr3:uid="{00000000-0010-0000-0700-000004000000}" name="Total Solar Energy" dataDxfId="19">
      <calculatedColumnFormula>Table2628[[#This Row],[Urban Renewables]]+Table2628[[#This Row],[Green House (KWh)]]</calculatedColumnFormula>
    </tableColumn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79998168889431442"/>
  </sheetPr>
  <dimension ref="B1:D31"/>
  <sheetViews>
    <sheetView tabSelected="1" zoomScaleNormal="100" workbookViewId="0">
      <pane xSplit="3" ySplit="2" topLeftCell="D15" activePane="bottomRight" state="frozen"/>
      <selection pane="topRight" activeCell="D1" sqref="D1"/>
      <selection pane="bottomLeft" activeCell="A5" sqref="A5"/>
      <selection pane="bottomRight" activeCell="E21" sqref="E21"/>
    </sheetView>
  </sheetViews>
  <sheetFormatPr defaultColWidth="8.53125" defaultRowHeight="14.25"/>
  <cols>
    <col min="1" max="1" width="2" style="1" customWidth="1"/>
    <col min="2" max="2" width="9.46484375" style="7" customWidth="1"/>
    <col min="3" max="3" width="8.53125" style="1" customWidth="1"/>
    <col min="4" max="4" width="30.796875" style="1" customWidth="1"/>
    <col min="5" max="5" width="8.53125" style="1" customWidth="1"/>
    <col min="6" max="16384" width="8.53125" style="1"/>
  </cols>
  <sheetData>
    <row r="1" spans="2:4" ht="31.05" customHeight="1">
      <c r="C1" s="1" t="s">
        <v>0</v>
      </c>
      <c r="D1" s="9"/>
    </row>
    <row r="2" spans="2:4">
      <c r="C2" s="10" t="s">
        <v>1</v>
      </c>
      <c r="D2" s="11" t="s">
        <v>2</v>
      </c>
    </row>
    <row r="3" spans="2:4">
      <c r="B3" s="18">
        <v>2024</v>
      </c>
      <c r="C3" s="12">
        <v>45292</v>
      </c>
      <c r="D3" s="13">
        <v>1795250.4</v>
      </c>
    </row>
    <row r="4" spans="2:4">
      <c r="C4" s="12">
        <v>45323</v>
      </c>
      <c r="D4" s="13">
        <v>1640248.8</v>
      </c>
    </row>
    <row r="5" spans="2:4">
      <c r="C5" s="12">
        <v>45352</v>
      </c>
      <c r="D5" s="13">
        <v>1564831.2</v>
      </c>
    </row>
    <row r="6" spans="2:4">
      <c r="C6" s="12">
        <v>45383</v>
      </c>
      <c r="D6" s="13">
        <v>1852773.6</v>
      </c>
    </row>
    <row r="7" spans="2:4">
      <c r="C7" s="12">
        <v>45413</v>
      </c>
      <c r="D7" s="13">
        <v>1994755.2</v>
      </c>
    </row>
    <row r="8" spans="2:4">
      <c r="C8" s="12">
        <v>45444</v>
      </c>
      <c r="D8" s="13">
        <v>1581009.6</v>
      </c>
    </row>
    <row r="9" spans="2:4">
      <c r="C9" s="12">
        <v>45474</v>
      </c>
      <c r="D9" s="13">
        <v>1997882.4</v>
      </c>
    </row>
    <row r="10" spans="2:4">
      <c r="C10" s="12">
        <v>45505</v>
      </c>
      <c r="D10" s="13">
        <v>1764319.2</v>
      </c>
    </row>
    <row r="11" spans="2:4">
      <c r="C11" s="12">
        <v>45536</v>
      </c>
      <c r="D11" s="13">
        <v>1543797.6</v>
      </c>
    </row>
    <row r="12" spans="2:4">
      <c r="C12" s="12">
        <v>45566</v>
      </c>
      <c r="D12" s="13">
        <v>1755266.4</v>
      </c>
    </row>
    <row r="13" spans="2:4">
      <c r="C13" s="12">
        <v>45597</v>
      </c>
      <c r="D13" s="13">
        <v>1761640.8</v>
      </c>
    </row>
    <row r="14" spans="2:4">
      <c r="C14" s="12">
        <v>45627</v>
      </c>
      <c r="D14" s="13">
        <v>1520150.4</v>
      </c>
    </row>
    <row r="15" spans="2:4">
      <c r="B15" s="18">
        <v>2025</v>
      </c>
      <c r="C15" s="12">
        <v>45658</v>
      </c>
      <c r="D15" s="13">
        <v>1608321.6</v>
      </c>
    </row>
    <row r="16" spans="2:4">
      <c r="C16" s="12">
        <v>45689</v>
      </c>
      <c r="D16" s="13">
        <v>1509172.8</v>
      </c>
    </row>
    <row r="17" spans="2:4">
      <c r="C17" s="12">
        <v>45717</v>
      </c>
      <c r="D17" s="13">
        <v>1457191.2</v>
      </c>
    </row>
    <row r="18" spans="2:4">
      <c r="C18" s="12">
        <v>45748</v>
      </c>
      <c r="D18" s="13">
        <v>1586059.2</v>
      </c>
    </row>
    <row r="19" spans="2:4">
      <c r="C19" s="12">
        <v>45778</v>
      </c>
      <c r="D19" s="13">
        <v>1824048</v>
      </c>
    </row>
    <row r="20" spans="2:4">
      <c r="C20" s="12">
        <v>45809</v>
      </c>
      <c r="D20" s="13">
        <v>1679752.8</v>
      </c>
    </row>
    <row r="21" spans="2:4">
      <c r="C21" s="12">
        <v>45839</v>
      </c>
      <c r="D21" s="13">
        <v>1940392.8</v>
      </c>
    </row>
    <row r="22" spans="2:4">
      <c r="C22" s="12">
        <v>45870</v>
      </c>
      <c r="D22" s="13">
        <v>1661577.6</v>
      </c>
    </row>
    <row r="23" spans="2:4">
      <c r="C23" s="12">
        <v>45901</v>
      </c>
      <c r="D23" s="13">
        <v>1498519.2</v>
      </c>
    </row>
    <row r="24" spans="2:4">
      <c r="C24" s="12">
        <v>45931</v>
      </c>
      <c r="D24" s="13">
        <v>1678603.2</v>
      </c>
    </row>
    <row r="25" spans="2:4">
      <c r="C25" s="12">
        <v>45962</v>
      </c>
      <c r="D25" s="13">
        <v>1676786.4</v>
      </c>
    </row>
    <row r="26" spans="2:4">
      <c r="C26" s="12">
        <v>45992</v>
      </c>
      <c r="D26" s="13">
        <v>1462089.6</v>
      </c>
    </row>
    <row r="27" spans="2:4">
      <c r="B27" s="18">
        <v>2026</v>
      </c>
      <c r="C27" s="12">
        <v>46023</v>
      </c>
      <c r="D27" s="13">
        <v>1587580.8</v>
      </c>
    </row>
    <row r="28" spans="2:4">
      <c r="C28" s="12">
        <v>46054</v>
      </c>
      <c r="D28" s="13">
        <v>1335585.6000000001</v>
      </c>
    </row>
    <row r="29" spans="2:4">
      <c r="C29" s="12">
        <v>46082</v>
      </c>
      <c r="D29" s="13">
        <v>1421323.2</v>
      </c>
    </row>
    <row r="30" spans="2:4">
      <c r="C30" s="12">
        <v>46113</v>
      </c>
      <c r="D30" s="13">
        <v>1562731.2</v>
      </c>
    </row>
    <row r="31" spans="2:4">
      <c r="C31" s="12">
        <v>46143</v>
      </c>
      <c r="D31" s="13">
        <v>1624641.6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X46"/>
  <sheetViews>
    <sheetView topLeftCell="A7" zoomScale="85" zoomScaleNormal="85" workbookViewId="0">
      <selection activeCell="B20" sqref="B20:B31"/>
    </sheetView>
  </sheetViews>
  <sheetFormatPr defaultRowHeight="14.25"/>
  <cols>
    <col min="1" max="1" width="4.19921875" customWidth="1"/>
    <col min="2" max="2" width="25.06640625" customWidth="1"/>
    <col min="3" max="3" width="11.73046875" bestFit="1" customWidth="1"/>
    <col min="4" max="5" width="10.59765625" bestFit="1" customWidth="1"/>
    <col min="6" max="6" width="11.73046875" bestFit="1" customWidth="1"/>
    <col min="7" max="7" width="10.59765625" bestFit="1" customWidth="1"/>
    <col min="8" max="8" width="24.06640625" customWidth="1"/>
    <col min="9" max="10" width="10.59765625" bestFit="1" customWidth="1"/>
    <col min="11" max="14" width="11.46484375" customWidth="1"/>
    <col min="15" max="15" width="17.796875" bestFit="1" customWidth="1"/>
    <col min="16" max="17" width="11.46484375" customWidth="1"/>
    <col min="18" max="18" width="18.06640625" bestFit="1" customWidth="1"/>
    <col min="19" max="19" width="19" bestFit="1" customWidth="1"/>
    <col min="20" max="20" width="18" bestFit="1" customWidth="1"/>
    <col min="21" max="21" width="16.19921875" bestFit="1" customWidth="1"/>
    <col min="22" max="22" width="11.73046875" bestFit="1" customWidth="1"/>
    <col min="23" max="24" width="11.46484375" customWidth="1"/>
    <col min="25" max="25" width="15.46484375" customWidth="1"/>
  </cols>
  <sheetData>
    <row r="3" spans="2:24">
      <c r="B3" s="5" t="s">
        <v>3</v>
      </c>
      <c r="C3" s="6"/>
    </row>
    <row r="4" spans="2:24">
      <c r="B4" s="4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</row>
    <row r="5" spans="2:24">
      <c r="B5" s="4" t="s">
        <v>27</v>
      </c>
      <c r="C5" s="2">
        <v>462871</v>
      </c>
      <c r="D5" s="2">
        <v>56999</v>
      </c>
      <c r="E5" s="2">
        <v>68134</v>
      </c>
      <c r="F5" s="2">
        <v>106671</v>
      </c>
      <c r="G5" s="2">
        <v>35485</v>
      </c>
      <c r="H5" s="2">
        <v>59736</v>
      </c>
      <c r="I5" s="2">
        <v>59561</v>
      </c>
      <c r="J5" s="2">
        <v>75432</v>
      </c>
      <c r="K5" s="2">
        <v>31362</v>
      </c>
      <c r="L5" s="2">
        <v>31534</v>
      </c>
      <c r="M5" s="2">
        <v>69740</v>
      </c>
      <c r="N5" s="2">
        <v>41510</v>
      </c>
      <c r="O5" s="2">
        <v>81761</v>
      </c>
      <c r="P5" s="2">
        <v>46021</v>
      </c>
      <c r="Q5" s="2">
        <v>54382</v>
      </c>
      <c r="R5" s="2">
        <v>61506</v>
      </c>
      <c r="S5" s="2">
        <v>22656</v>
      </c>
      <c r="T5" s="2">
        <v>9577</v>
      </c>
      <c r="U5" s="2">
        <v>137564</v>
      </c>
      <c r="V5" s="2">
        <v>43467</v>
      </c>
      <c r="W5" s="2">
        <v>1401</v>
      </c>
      <c r="X5" s="2">
        <v>603</v>
      </c>
    </row>
    <row r="6" spans="2:24">
      <c r="B6" s="4" t="s">
        <v>28</v>
      </c>
      <c r="C6" s="3">
        <v>449967</v>
      </c>
      <c r="D6" s="3">
        <v>52535</v>
      </c>
      <c r="E6" s="3">
        <v>74824</v>
      </c>
      <c r="F6" s="3">
        <v>95093</v>
      </c>
      <c r="G6" s="3">
        <v>29709</v>
      </c>
      <c r="H6" s="3">
        <v>57444</v>
      </c>
      <c r="I6" s="3">
        <v>53512</v>
      </c>
      <c r="J6" s="3">
        <v>69966</v>
      </c>
      <c r="K6" s="2">
        <v>28079</v>
      </c>
      <c r="L6" s="2">
        <v>28039</v>
      </c>
      <c r="M6" s="2">
        <v>66465</v>
      </c>
      <c r="N6" s="2">
        <v>36954</v>
      </c>
      <c r="O6" s="2">
        <v>72867</v>
      </c>
      <c r="P6" s="2">
        <v>47606</v>
      </c>
      <c r="Q6" s="2">
        <v>46806</v>
      </c>
      <c r="R6" s="2">
        <v>56786</v>
      </c>
      <c r="S6" s="2">
        <v>19153</v>
      </c>
      <c r="T6" s="2">
        <v>11713</v>
      </c>
      <c r="U6" s="2">
        <v>133434</v>
      </c>
      <c r="V6" s="2">
        <v>51394</v>
      </c>
      <c r="W6" s="2">
        <v>755</v>
      </c>
      <c r="X6" s="2">
        <v>562</v>
      </c>
    </row>
    <row r="7" spans="2:24">
      <c r="B7" s="4" t="s">
        <v>29</v>
      </c>
      <c r="C7" s="3">
        <v>407459</v>
      </c>
      <c r="D7" s="3">
        <v>54778</v>
      </c>
      <c r="E7" s="3">
        <v>75158</v>
      </c>
      <c r="F7" s="3">
        <v>94464</v>
      </c>
      <c r="G7" s="3">
        <v>25296</v>
      </c>
      <c r="H7" s="3">
        <v>50618</v>
      </c>
      <c r="I7" s="3">
        <v>51341</v>
      </c>
      <c r="J7" s="3">
        <v>69204</v>
      </c>
      <c r="K7" s="2">
        <v>22544</v>
      </c>
      <c r="L7" s="2">
        <v>25205</v>
      </c>
      <c r="M7" s="2">
        <v>68173</v>
      </c>
      <c r="N7" s="2">
        <v>34576</v>
      </c>
      <c r="O7" s="2">
        <v>65679</v>
      </c>
      <c r="P7" s="2">
        <v>46256</v>
      </c>
      <c r="Q7" s="2">
        <v>36624</v>
      </c>
      <c r="R7" s="2">
        <v>50921</v>
      </c>
      <c r="S7" s="2">
        <v>22481</v>
      </c>
      <c r="T7" s="2">
        <v>12545</v>
      </c>
      <c r="U7" s="2">
        <v>147015</v>
      </c>
      <c r="V7" s="2">
        <v>48728</v>
      </c>
      <c r="W7" s="2">
        <v>1096</v>
      </c>
      <c r="X7" s="2">
        <v>625</v>
      </c>
    </row>
    <row r="8" spans="2:24">
      <c r="B8" s="4" t="s">
        <v>30</v>
      </c>
      <c r="C8" s="3">
        <v>545707</v>
      </c>
      <c r="D8" s="3">
        <v>59655</v>
      </c>
      <c r="E8" s="3">
        <v>87359</v>
      </c>
      <c r="F8" s="3">
        <v>106431</v>
      </c>
      <c r="G8" s="3">
        <v>33337</v>
      </c>
      <c r="H8" s="3">
        <v>59635</v>
      </c>
      <c r="I8" s="3">
        <v>59920</v>
      </c>
      <c r="J8" s="3">
        <v>75248</v>
      </c>
      <c r="K8" s="2">
        <v>29657</v>
      </c>
      <c r="L8" s="2">
        <v>30644</v>
      </c>
      <c r="M8" s="2">
        <v>72751</v>
      </c>
      <c r="N8" s="2">
        <v>42270</v>
      </c>
      <c r="O8" s="2">
        <v>81395</v>
      </c>
      <c r="P8" s="2">
        <v>54437</v>
      </c>
      <c r="Q8" s="2">
        <v>52775</v>
      </c>
      <c r="R8" s="2">
        <v>62275</v>
      </c>
      <c r="S8" s="2">
        <v>23913</v>
      </c>
      <c r="T8" s="2">
        <v>12566</v>
      </c>
      <c r="U8" s="2">
        <v>140046</v>
      </c>
      <c r="V8" s="2">
        <v>47949</v>
      </c>
      <c r="W8" s="2">
        <v>1004</v>
      </c>
      <c r="X8" s="2">
        <v>636</v>
      </c>
    </row>
    <row r="9" spans="2:24">
      <c r="B9" s="4" t="s">
        <v>31</v>
      </c>
      <c r="C9" s="3">
        <v>565550</v>
      </c>
      <c r="D9" s="3">
        <v>59051</v>
      </c>
      <c r="E9" s="3">
        <v>92516</v>
      </c>
      <c r="F9" s="3">
        <v>109194</v>
      </c>
      <c r="G9" s="3">
        <v>33754</v>
      </c>
      <c r="H9" s="3">
        <v>61428</v>
      </c>
      <c r="I9" s="3">
        <v>60953</v>
      </c>
      <c r="J9" s="3">
        <v>73672</v>
      </c>
      <c r="K9" s="2">
        <v>34353</v>
      </c>
      <c r="L9" s="2">
        <v>31351</v>
      </c>
      <c r="M9" s="2">
        <v>72789</v>
      </c>
      <c r="N9" s="2">
        <v>48498</v>
      </c>
      <c r="O9" s="2">
        <v>89470</v>
      </c>
      <c r="P9" s="2">
        <v>56833</v>
      </c>
      <c r="Q9" s="2">
        <v>62867</v>
      </c>
      <c r="R9" s="2">
        <v>63149</v>
      </c>
      <c r="S9" s="2">
        <v>25677</v>
      </c>
      <c r="T9" s="2">
        <v>11875</v>
      </c>
      <c r="U9" s="2">
        <v>150095</v>
      </c>
      <c r="V9" s="2">
        <v>52472</v>
      </c>
      <c r="W9" s="2">
        <v>1193</v>
      </c>
      <c r="X9" s="2">
        <v>604</v>
      </c>
    </row>
    <row r="10" spans="2:24">
      <c r="B10" s="4" t="s">
        <v>32</v>
      </c>
      <c r="C10" s="3">
        <v>428747</v>
      </c>
      <c r="D10" s="3">
        <v>52216</v>
      </c>
      <c r="E10" s="3">
        <v>80928</v>
      </c>
      <c r="F10" s="3">
        <v>96367</v>
      </c>
      <c r="G10" s="3">
        <v>25720</v>
      </c>
      <c r="H10" s="3">
        <v>52744</v>
      </c>
      <c r="I10" s="3">
        <v>54496</v>
      </c>
      <c r="J10" s="3">
        <v>67750</v>
      </c>
      <c r="K10" s="2">
        <v>25600</v>
      </c>
      <c r="L10" s="2">
        <v>24219</v>
      </c>
      <c r="M10" s="2">
        <v>67337</v>
      </c>
      <c r="N10" s="2">
        <v>37237</v>
      </c>
      <c r="O10" s="2">
        <v>68921</v>
      </c>
      <c r="P10" s="2">
        <v>46503</v>
      </c>
      <c r="Q10" s="2">
        <v>44823</v>
      </c>
      <c r="R10" s="2">
        <v>54195</v>
      </c>
      <c r="S10" s="2">
        <v>20485</v>
      </c>
      <c r="T10" s="2">
        <v>9074</v>
      </c>
      <c r="U10" s="2">
        <v>145412</v>
      </c>
      <c r="V10" s="2">
        <v>49979</v>
      </c>
      <c r="W10" s="2">
        <v>646</v>
      </c>
      <c r="X10" s="2">
        <v>588</v>
      </c>
    </row>
    <row r="11" spans="2:24">
      <c r="B11" s="4" t="s">
        <v>33</v>
      </c>
      <c r="C11" s="3">
        <v>565024</v>
      </c>
      <c r="D11" s="3">
        <v>62648</v>
      </c>
      <c r="E11" s="3">
        <v>88811</v>
      </c>
      <c r="F11" s="3">
        <v>115912</v>
      </c>
      <c r="G11" s="3">
        <v>35690</v>
      </c>
      <c r="H11" s="3">
        <v>64838</v>
      </c>
      <c r="I11" s="3">
        <v>61988</v>
      </c>
      <c r="J11" s="3">
        <v>75655</v>
      </c>
      <c r="K11" s="2">
        <v>34587</v>
      </c>
      <c r="L11" s="2">
        <v>37557</v>
      </c>
      <c r="M11" s="2">
        <v>82370</v>
      </c>
      <c r="N11" s="2">
        <v>48516</v>
      </c>
      <c r="O11" s="2">
        <v>93744</v>
      </c>
      <c r="P11" s="2">
        <v>57422</v>
      </c>
      <c r="Q11" s="2">
        <v>66734</v>
      </c>
      <c r="R11" s="2">
        <v>64743</v>
      </c>
      <c r="S11" s="2">
        <v>26344</v>
      </c>
      <c r="T11" s="2">
        <v>10022</v>
      </c>
      <c r="U11" s="2">
        <v>150524</v>
      </c>
      <c r="V11" s="2">
        <v>52583</v>
      </c>
      <c r="W11" s="2">
        <v>1197</v>
      </c>
      <c r="X11" s="2">
        <v>538</v>
      </c>
    </row>
    <row r="12" spans="2:24">
      <c r="B12" s="4" t="s">
        <v>34</v>
      </c>
      <c r="C12" s="3">
        <v>493996</v>
      </c>
      <c r="D12" s="3">
        <v>57889</v>
      </c>
      <c r="E12" s="3">
        <v>81203</v>
      </c>
      <c r="F12" s="3">
        <v>109923</v>
      </c>
      <c r="G12" s="3">
        <v>28918</v>
      </c>
      <c r="H12" s="3">
        <v>61176</v>
      </c>
      <c r="I12" s="3">
        <v>59458</v>
      </c>
      <c r="J12" s="3">
        <v>72113</v>
      </c>
      <c r="K12" s="2">
        <v>29626</v>
      </c>
      <c r="L12" s="2">
        <v>29524</v>
      </c>
      <c r="M12" s="2">
        <v>69345</v>
      </c>
      <c r="N12" s="2">
        <v>40865</v>
      </c>
      <c r="O12" s="2">
        <v>83856</v>
      </c>
      <c r="P12" s="2">
        <v>53681</v>
      </c>
      <c r="Q12" s="2">
        <v>53562</v>
      </c>
      <c r="R12" s="2">
        <v>52200</v>
      </c>
      <c r="S12" s="2">
        <v>22037</v>
      </c>
      <c r="T12" s="2">
        <v>10394</v>
      </c>
      <c r="U12" s="2">
        <v>146787</v>
      </c>
      <c r="V12" s="2">
        <v>48787</v>
      </c>
      <c r="W12" s="2">
        <v>932</v>
      </c>
      <c r="X12" s="2">
        <v>511</v>
      </c>
    </row>
    <row r="13" spans="2:24">
      <c r="B13" s="4" t="s">
        <v>35</v>
      </c>
      <c r="C13" s="3">
        <v>406172</v>
      </c>
      <c r="D13" s="3">
        <v>51831</v>
      </c>
      <c r="E13" s="3">
        <v>80843</v>
      </c>
      <c r="F13" s="3">
        <v>92104</v>
      </c>
      <c r="G13" s="3">
        <v>23978</v>
      </c>
      <c r="H13" s="3">
        <v>51038</v>
      </c>
      <c r="I13" s="3">
        <v>53274</v>
      </c>
      <c r="J13" s="3">
        <v>61284</v>
      </c>
      <c r="K13" s="2">
        <v>22096</v>
      </c>
      <c r="L13" s="2">
        <v>23230</v>
      </c>
      <c r="M13" s="2">
        <v>63733</v>
      </c>
      <c r="N13" s="2">
        <v>31353</v>
      </c>
      <c r="O13" s="2">
        <v>62258</v>
      </c>
      <c r="P13" s="2">
        <v>43896</v>
      </c>
      <c r="Q13" s="2">
        <v>40082</v>
      </c>
      <c r="R13" s="2">
        <v>51943</v>
      </c>
      <c r="S13" s="2">
        <v>19593</v>
      </c>
      <c r="T13" s="2">
        <v>10173</v>
      </c>
      <c r="U13" s="2">
        <v>131423</v>
      </c>
      <c r="V13" s="2">
        <v>45961</v>
      </c>
      <c r="W13" s="2">
        <v>892</v>
      </c>
      <c r="X13" s="2">
        <v>473</v>
      </c>
    </row>
    <row r="14" spans="2:24">
      <c r="B14" s="4" t="s">
        <v>36</v>
      </c>
      <c r="C14" s="3">
        <v>453847</v>
      </c>
      <c r="D14" s="3">
        <v>56237</v>
      </c>
      <c r="E14" s="3">
        <v>97568</v>
      </c>
      <c r="F14" s="3">
        <v>104274</v>
      </c>
      <c r="G14" s="3">
        <v>31016</v>
      </c>
      <c r="H14" s="3">
        <v>58076</v>
      </c>
      <c r="I14" s="3">
        <v>63576</v>
      </c>
      <c r="J14" s="3">
        <v>65523</v>
      </c>
      <c r="K14" s="2">
        <v>28169</v>
      </c>
      <c r="L14" s="2">
        <v>30164</v>
      </c>
      <c r="M14" s="2">
        <v>78054</v>
      </c>
      <c r="N14" s="2">
        <v>41273</v>
      </c>
      <c r="O14" s="2">
        <v>82259</v>
      </c>
      <c r="P14" s="2">
        <v>55629</v>
      </c>
      <c r="Q14" s="2">
        <v>54504</v>
      </c>
      <c r="R14" s="2">
        <v>58946</v>
      </c>
      <c r="S14" s="2">
        <v>23509</v>
      </c>
      <c r="T14" s="2">
        <v>13729</v>
      </c>
      <c r="U14" s="2">
        <v>134031</v>
      </c>
      <c r="V14" s="2">
        <v>48376</v>
      </c>
      <c r="W14" s="2">
        <v>993</v>
      </c>
      <c r="X14" s="2">
        <v>532</v>
      </c>
    </row>
    <row r="15" spans="2:24">
      <c r="B15" s="4" t="s">
        <v>37</v>
      </c>
      <c r="C15" s="3">
        <v>490826</v>
      </c>
      <c r="D15" s="3">
        <v>57990</v>
      </c>
      <c r="E15" s="3">
        <v>97918</v>
      </c>
      <c r="F15" s="3">
        <v>105891</v>
      </c>
      <c r="G15" s="3">
        <v>32951</v>
      </c>
      <c r="H15" s="3">
        <v>62101</v>
      </c>
      <c r="I15" s="3">
        <v>67272</v>
      </c>
      <c r="J15" s="3">
        <v>68017</v>
      </c>
      <c r="K15" s="2">
        <v>32036</v>
      </c>
      <c r="L15" s="2">
        <v>34183</v>
      </c>
      <c r="M15" s="2">
        <v>79346</v>
      </c>
      <c r="N15" s="2">
        <v>45431</v>
      </c>
      <c r="O15" s="2">
        <v>85547</v>
      </c>
      <c r="P15" s="2">
        <v>58551</v>
      </c>
      <c r="Q15" s="2">
        <v>56859</v>
      </c>
      <c r="R15" s="2">
        <v>59938</v>
      </c>
      <c r="S15" s="2">
        <v>22159</v>
      </c>
      <c r="T15" s="2">
        <v>12278</v>
      </c>
      <c r="U15" s="2">
        <v>116859</v>
      </c>
      <c r="V15" s="2">
        <v>45267</v>
      </c>
      <c r="W15" s="2">
        <v>1542</v>
      </c>
      <c r="X15" s="2">
        <v>394</v>
      </c>
    </row>
    <row r="16" spans="2:24">
      <c r="B16" s="4" t="s">
        <v>38</v>
      </c>
      <c r="C16" s="3">
        <v>409305.21444444399</v>
      </c>
      <c r="D16" s="3">
        <v>49441.629000000074</v>
      </c>
      <c r="E16" s="3">
        <v>91089.370999999926</v>
      </c>
      <c r="F16" s="3">
        <v>91566.480000000214</v>
      </c>
      <c r="G16" s="3">
        <v>25992.834000000079</v>
      </c>
      <c r="H16" s="3">
        <v>52492.714000000618</v>
      </c>
      <c r="I16" s="3">
        <v>60848.353000000119</v>
      </c>
      <c r="J16" s="3">
        <v>61320.970000000198</v>
      </c>
      <c r="K16" s="2">
        <v>24538.47099999967</v>
      </c>
      <c r="L16" s="2">
        <v>25476.44700000004</v>
      </c>
      <c r="M16" s="2">
        <v>73828.701999999816</v>
      </c>
      <c r="N16" s="2">
        <v>35665.483000000007</v>
      </c>
      <c r="O16" s="2">
        <v>68214.92799999984</v>
      </c>
      <c r="P16" s="2">
        <v>51664.810000000063</v>
      </c>
      <c r="Q16" s="2">
        <v>40364.075999999768</v>
      </c>
      <c r="R16" s="2">
        <v>56341.596000000143</v>
      </c>
      <c r="S16" s="2">
        <v>20955.820000000069</v>
      </c>
      <c r="T16" s="2">
        <v>17296</v>
      </c>
      <c r="U16" s="2">
        <v>109219.2400000013</v>
      </c>
      <c r="V16" s="2">
        <v>44715.560000000383</v>
      </c>
      <c r="W16" s="2">
        <v>984.25999999999817</v>
      </c>
      <c r="X16" s="2">
        <v>273.31999999999971</v>
      </c>
    </row>
    <row r="18" spans="2:24">
      <c r="B18" s="5" t="s">
        <v>39</v>
      </c>
      <c r="C18" s="6"/>
    </row>
    <row r="19" spans="2:24">
      <c r="B19" s="4" t="s">
        <v>4</v>
      </c>
      <c r="C19" s="1" t="s">
        <v>5</v>
      </c>
      <c r="D19" s="1" t="s">
        <v>6</v>
      </c>
      <c r="E19" s="1" t="s">
        <v>7</v>
      </c>
      <c r="F19" s="1" t="s">
        <v>8</v>
      </c>
      <c r="G19" s="1" t="s">
        <v>9</v>
      </c>
      <c r="H19" s="1" t="s">
        <v>10</v>
      </c>
      <c r="I19" s="1" t="s">
        <v>11</v>
      </c>
      <c r="J19" s="1" t="s">
        <v>12</v>
      </c>
      <c r="K19" s="1" t="s">
        <v>13</v>
      </c>
      <c r="L19" s="1" t="s">
        <v>14</v>
      </c>
      <c r="M19" s="1" t="s">
        <v>15</v>
      </c>
      <c r="N19" s="1" t="s">
        <v>16</v>
      </c>
      <c r="O19" s="1" t="s">
        <v>17</v>
      </c>
      <c r="P19" s="1" t="s">
        <v>18</v>
      </c>
      <c r="Q19" s="1" t="s">
        <v>19</v>
      </c>
      <c r="R19" s="1" t="s">
        <v>20</v>
      </c>
      <c r="S19" s="1" t="s">
        <v>21</v>
      </c>
      <c r="T19" s="1" t="s">
        <v>22</v>
      </c>
      <c r="U19" s="1" t="s">
        <v>23</v>
      </c>
      <c r="V19" s="1" t="s">
        <v>24</v>
      </c>
      <c r="W19" s="1" t="s">
        <v>25</v>
      </c>
      <c r="X19" s="1" t="s">
        <v>26</v>
      </c>
    </row>
    <row r="20" spans="2:24">
      <c r="B20" s="4" t="s">
        <v>27</v>
      </c>
      <c r="C20" s="2">
        <v>390393.32518518477</v>
      </c>
      <c r="D20" s="2">
        <v>50631.779999999213</v>
      </c>
      <c r="E20" s="2">
        <v>74464.220000000787</v>
      </c>
      <c r="F20" s="2">
        <v>99738.797999999486</v>
      </c>
      <c r="G20" s="2">
        <v>32286.204000000191</v>
      </c>
      <c r="H20" s="2">
        <v>55259.715999999549</v>
      </c>
      <c r="I20" s="2">
        <v>61005.969999999739</v>
      </c>
      <c r="J20" s="2">
        <v>64595.357999999767</v>
      </c>
      <c r="K20" s="2">
        <v>33787.105999999912</v>
      </c>
      <c r="L20" s="2">
        <v>31824.480000000331</v>
      </c>
      <c r="M20" s="2">
        <v>72516.959999999963</v>
      </c>
      <c r="N20" s="2">
        <v>41502.52099999995</v>
      </c>
      <c r="O20" s="2">
        <v>78627.780000000028</v>
      </c>
      <c r="P20" s="2">
        <v>52527.90000000014</v>
      </c>
      <c r="Q20" s="2">
        <v>51834.469999999506</v>
      </c>
      <c r="R20" s="2">
        <v>55087.439999999828</v>
      </c>
      <c r="S20" s="2">
        <v>21688.63</v>
      </c>
      <c r="T20" s="2">
        <v>14290.959999999959</v>
      </c>
      <c r="U20" s="2">
        <v>99387.739999999627</v>
      </c>
      <c r="V20" s="2">
        <v>45730.36</v>
      </c>
      <c r="W20" s="2">
        <v>1059.95</v>
      </c>
      <c r="X20" s="2">
        <v>224.15000000000151</v>
      </c>
    </row>
    <row r="21" spans="2:24">
      <c r="B21" s="4" t="s">
        <v>28</v>
      </c>
      <c r="C21" s="3">
        <v>406863.72604938247</v>
      </c>
      <c r="D21" s="3">
        <v>50662.565000000643</v>
      </c>
      <c r="E21" s="3">
        <v>73249.434999999357</v>
      </c>
      <c r="F21" s="3">
        <v>93217.91100000008</v>
      </c>
      <c r="G21" s="3">
        <v>27742.98299999976</v>
      </c>
      <c r="H21" s="3">
        <v>55943.328999999438</v>
      </c>
      <c r="I21" s="3">
        <v>53480.163000000641</v>
      </c>
      <c r="J21" s="3">
        <v>56883.690000000177</v>
      </c>
      <c r="K21" s="2">
        <v>31569.306000000099</v>
      </c>
      <c r="L21" s="2">
        <v>32136.203999999791</v>
      </c>
      <c r="M21" s="2">
        <v>71555.686999999918</v>
      </c>
      <c r="N21" s="2">
        <v>39481.38599999994</v>
      </c>
      <c r="O21" s="2">
        <v>76519.716000000248</v>
      </c>
      <c r="P21" s="2">
        <v>48462.066999999923</v>
      </c>
      <c r="Q21" s="2">
        <v>48656.817000000272</v>
      </c>
      <c r="R21" s="2">
        <v>51912.159000000218</v>
      </c>
      <c r="S21" s="2">
        <v>19813.94999999995</v>
      </c>
      <c r="T21" s="2">
        <v>14241.52000000002</v>
      </c>
      <c r="U21" s="2">
        <v>92363.919999998863</v>
      </c>
      <c r="V21" s="2">
        <v>43861.080000000213</v>
      </c>
      <c r="W21" s="2">
        <v>956.37999999999647</v>
      </c>
      <c r="X21" s="2">
        <v>249.72000000000119</v>
      </c>
    </row>
    <row r="22" spans="2:24">
      <c r="B22" s="4" t="s">
        <v>29</v>
      </c>
      <c r="C22" s="3">
        <v>372881.77205761179</v>
      </c>
      <c r="D22" s="3">
        <v>53289.68899999978</v>
      </c>
      <c r="E22" s="3">
        <v>81953.31100000022</v>
      </c>
      <c r="F22" s="3">
        <v>91685.839999999851</v>
      </c>
      <c r="G22" s="3">
        <v>25439.91400000035</v>
      </c>
      <c r="H22" s="3">
        <v>47549.353000001051</v>
      </c>
      <c r="I22" s="3">
        <v>54121.849999999627</v>
      </c>
      <c r="J22" s="3">
        <v>57436.08499999973</v>
      </c>
      <c r="K22" s="2">
        <v>26868.282000000119</v>
      </c>
      <c r="L22" s="2">
        <v>26341.7790000001</v>
      </c>
      <c r="M22" s="2">
        <v>69452.837999999756</v>
      </c>
      <c r="N22" s="2">
        <v>37479.359000000171</v>
      </c>
      <c r="O22" s="2">
        <v>70671.953999999678</v>
      </c>
      <c r="P22" s="2">
        <v>47076.538999999757</v>
      </c>
      <c r="Q22" s="2">
        <v>37709.582999999977</v>
      </c>
      <c r="R22" s="2">
        <v>56619.663000000182</v>
      </c>
      <c r="S22" s="2">
        <v>22542.790000000041</v>
      </c>
      <c r="T22" s="2">
        <v>16887.520000000019</v>
      </c>
      <c r="U22" s="2">
        <v>98587.080000000744</v>
      </c>
      <c r="V22" s="2">
        <v>48133.72</v>
      </c>
      <c r="W22" s="2">
        <v>1147.610000000001</v>
      </c>
      <c r="X22" s="2">
        <v>266.48999999999802</v>
      </c>
    </row>
    <row r="23" spans="2:24">
      <c r="B23" s="4" t="s">
        <v>30</v>
      </c>
      <c r="C23" s="3">
        <v>415335.00906721712</v>
      </c>
      <c r="D23" s="3">
        <v>57470.817999999621</v>
      </c>
      <c r="E23" s="3">
        <v>77166.182000000379</v>
      </c>
      <c r="F23" s="3">
        <v>96191.472999999998</v>
      </c>
      <c r="G23" s="3">
        <v>31607.922999999631</v>
      </c>
      <c r="H23" s="3">
        <v>54270.68499999959</v>
      </c>
      <c r="I23" s="3">
        <v>56490.924000000123</v>
      </c>
      <c r="J23" s="3">
        <v>58803.126000000157</v>
      </c>
      <c r="K23" s="2">
        <v>30282.45000000019</v>
      </c>
      <c r="L23" s="2">
        <v>30187.382999999802</v>
      </c>
      <c r="M23" s="2">
        <v>75572.710000000196</v>
      </c>
      <c r="N23" s="2">
        <v>42624.790999999968</v>
      </c>
      <c r="O23" s="2">
        <v>78064.862999999896</v>
      </c>
      <c r="P23" s="2">
        <v>51514.123999999953</v>
      </c>
      <c r="Q23" s="2">
        <v>48274.778000000282</v>
      </c>
      <c r="R23" s="2">
        <v>56634.66399999999</v>
      </c>
      <c r="S23" s="2">
        <v>20361.059999999939</v>
      </c>
      <c r="T23" s="2">
        <v>16398.959999999959</v>
      </c>
      <c r="U23" s="2">
        <v>93455.880000000761</v>
      </c>
      <c r="V23" s="2">
        <v>46117.319999999418</v>
      </c>
      <c r="W23" s="2">
        <v>1008.200000000001</v>
      </c>
      <c r="X23" s="2">
        <v>105.2699999999968</v>
      </c>
    </row>
    <row r="24" spans="2:24">
      <c r="B24" s="4" t="s">
        <v>31</v>
      </c>
      <c r="C24" s="3">
        <v>496705.52057841723</v>
      </c>
      <c r="D24" s="3">
        <v>62709.659000000218</v>
      </c>
      <c r="E24" s="3">
        <v>86846.240999999689</v>
      </c>
      <c r="F24" s="3">
        <v>107402.6900000004</v>
      </c>
      <c r="G24" s="3">
        <v>36681.268000000193</v>
      </c>
      <c r="H24" s="3">
        <v>66072.50400000019</v>
      </c>
      <c r="I24" s="3">
        <v>63354.387000000097</v>
      </c>
      <c r="J24" s="3">
        <v>66286.038999999873</v>
      </c>
      <c r="K24" s="2">
        <v>36121.420999999616</v>
      </c>
      <c r="L24" s="2">
        <v>36899.286000000197</v>
      </c>
      <c r="M24" s="2">
        <v>86113.203999999911</v>
      </c>
      <c r="N24" s="2">
        <v>50636.483999999713</v>
      </c>
      <c r="O24" s="2">
        <v>89946.1800000004</v>
      </c>
      <c r="P24" s="2">
        <v>57227.817999999847</v>
      </c>
      <c r="Q24" s="2">
        <v>62988.108999999713</v>
      </c>
      <c r="R24" s="2">
        <v>59019.023999999983</v>
      </c>
      <c r="S24" s="2">
        <v>25601.989999999991</v>
      </c>
      <c r="T24" s="2">
        <v>20732</v>
      </c>
      <c r="U24" s="2">
        <v>108540.4399999989</v>
      </c>
      <c r="V24" s="2">
        <v>52797.460000000538</v>
      </c>
      <c r="W24" s="2">
        <v>1067.71</v>
      </c>
      <c r="X24" s="2">
        <v>50.310000000004948</v>
      </c>
    </row>
    <row r="25" spans="2:24">
      <c r="B25" s="4" t="s">
        <v>32</v>
      </c>
      <c r="C25" s="3">
        <v>476147.71123037662</v>
      </c>
      <c r="D25" s="3">
        <v>57174.67600000021</v>
      </c>
      <c r="E25" s="3">
        <v>74832.32399999979</v>
      </c>
      <c r="F25" s="3">
        <v>100680.77099999991</v>
      </c>
      <c r="G25" s="3">
        <v>33168.376000000128</v>
      </c>
      <c r="H25" s="3">
        <v>62314.825999999877</v>
      </c>
      <c r="I25" s="3">
        <v>59557.498999999843</v>
      </c>
      <c r="J25" s="3">
        <v>61871.629999999888</v>
      </c>
      <c r="K25" s="2">
        <v>31464.21500000032</v>
      </c>
      <c r="L25" s="2">
        <v>30573.942000000039</v>
      </c>
      <c r="M25" s="2">
        <v>80476.033999999985</v>
      </c>
      <c r="N25" s="2">
        <v>47374.212000000058</v>
      </c>
      <c r="O25" s="2">
        <v>79290.521999999881</v>
      </c>
      <c r="P25" s="2">
        <v>53847.336000000243</v>
      </c>
      <c r="Q25" s="2">
        <v>54094.342999999993</v>
      </c>
      <c r="R25" s="2">
        <v>58257.675999999861</v>
      </c>
      <c r="S25" s="2">
        <v>25437.839999999971</v>
      </c>
      <c r="T25" s="2">
        <v>21101.520000000019</v>
      </c>
      <c r="U25" s="2">
        <v>102131.1999999993</v>
      </c>
      <c r="V25" s="2">
        <v>50157.099999999627</v>
      </c>
      <c r="W25" s="2">
        <v>750.83999999999821</v>
      </c>
      <c r="X25" s="2">
        <v>18.69999999999709</v>
      </c>
    </row>
    <row r="26" spans="2:24">
      <c r="B26" s="4" t="s">
        <v>33</v>
      </c>
      <c r="C26" s="3">
        <v>531020.52236136538</v>
      </c>
      <c r="D26" s="3">
        <v>68032.372999999672</v>
      </c>
      <c r="E26" s="3">
        <v>82393.627000000328</v>
      </c>
      <c r="F26" s="3">
        <v>115645.7779999999</v>
      </c>
      <c r="G26" s="3">
        <v>39612.784999999763</v>
      </c>
      <c r="H26" s="3">
        <v>69138.437999999616</v>
      </c>
      <c r="I26" s="3">
        <v>65840.302000000142</v>
      </c>
      <c r="J26" s="3">
        <v>68962.781000000192</v>
      </c>
      <c r="K26" s="2">
        <v>40338.330000000067</v>
      </c>
      <c r="L26" s="2">
        <v>38278.444999999949</v>
      </c>
      <c r="M26" s="2">
        <v>89256.287000000477</v>
      </c>
      <c r="N26" s="2">
        <v>51949.888999999966</v>
      </c>
      <c r="O26" s="2">
        <v>91738.37099999981</v>
      </c>
      <c r="P26" s="2">
        <v>63963.23499999987</v>
      </c>
      <c r="Q26" s="2">
        <v>71127.467000000528</v>
      </c>
      <c r="R26" s="2">
        <v>67906.793000000063</v>
      </c>
      <c r="S26" s="2">
        <v>27556.120000000112</v>
      </c>
      <c r="T26" s="2">
        <v>21418</v>
      </c>
      <c r="U26" s="2">
        <v>116120.5200000016</v>
      </c>
      <c r="V26" s="2">
        <v>55241.079999999842</v>
      </c>
      <c r="W26" s="2">
        <v>1430.550000000005</v>
      </c>
      <c r="X26" s="2">
        <v>135.91000000000349</v>
      </c>
    </row>
    <row r="27" spans="2:24">
      <c r="B27" s="4" t="s">
        <v>34</v>
      </c>
      <c r="C27" s="3">
        <v>435929.54022406199</v>
      </c>
      <c r="D27" s="3">
        <v>60850.133000000613</v>
      </c>
      <c r="E27" s="3">
        <v>71179.866999999387</v>
      </c>
      <c r="F27" s="3">
        <v>98377.714000000153</v>
      </c>
      <c r="G27" s="3">
        <v>31329.721999999991</v>
      </c>
      <c r="H27" s="3">
        <v>66289.024000000674</v>
      </c>
      <c r="I27" s="3">
        <v>56374.705000000067</v>
      </c>
      <c r="J27" s="3">
        <v>67592.381000000285</v>
      </c>
      <c r="K27" s="2">
        <v>33064.456999999697</v>
      </c>
      <c r="L27" s="2">
        <v>32878.015999999829</v>
      </c>
      <c r="M27" s="2">
        <v>80825.783999999752</v>
      </c>
      <c r="N27" s="2">
        <v>44482.283000000287</v>
      </c>
      <c r="O27" s="2">
        <v>78228.52900000033</v>
      </c>
      <c r="P27" s="2">
        <v>55413.76100000029</v>
      </c>
      <c r="Q27" s="2">
        <v>54398.148999999743</v>
      </c>
      <c r="R27" s="2">
        <v>61150.41799999983</v>
      </c>
      <c r="S27" s="2">
        <v>20999.179999999931</v>
      </c>
      <c r="T27" s="2">
        <v>21188.479999999981</v>
      </c>
      <c r="U27" s="2">
        <v>98186.819999999658</v>
      </c>
      <c r="V27" s="2">
        <v>50587.880000000543</v>
      </c>
      <c r="W27" s="2">
        <v>1173.059999999999</v>
      </c>
      <c r="X27" s="2">
        <v>197.9799999999959</v>
      </c>
    </row>
    <row r="28" spans="2:24">
      <c r="B28" s="4" t="s">
        <v>35</v>
      </c>
      <c r="C28" s="3">
        <v>377681.8409198412</v>
      </c>
      <c r="D28" s="3">
        <v>59617.421999999548</v>
      </c>
      <c r="E28" s="3">
        <v>81143.578000000445</v>
      </c>
      <c r="F28" s="3">
        <v>96017.130999999586</v>
      </c>
      <c r="G28" s="3">
        <v>28688.360000000179</v>
      </c>
      <c r="H28" s="3">
        <v>56447.335999999203</v>
      </c>
      <c r="I28" s="3">
        <v>52532.22699999949</v>
      </c>
      <c r="J28" s="3">
        <v>58198.572999999858</v>
      </c>
      <c r="K28" s="2">
        <v>28078.861999999961</v>
      </c>
      <c r="L28" s="2">
        <v>26528.752000000211</v>
      </c>
      <c r="M28" s="2">
        <v>73310.189999999944</v>
      </c>
      <c r="N28" s="2">
        <v>39178.043999999529</v>
      </c>
      <c r="O28" s="2">
        <v>64100.855999999447</v>
      </c>
      <c r="P28" s="2">
        <v>47978.863000000129</v>
      </c>
      <c r="Q28" s="2">
        <v>43145.052000000032</v>
      </c>
      <c r="R28" s="2">
        <v>64956.69700000016</v>
      </c>
      <c r="S28" s="2">
        <v>20522.790000000041</v>
      </c>
      <c r="T28" s="2">
        <v>18663.040000000041</v>
      </c>
      <c r="U28" s="2">
        <v>101315.41999999979</v>
      </c>
      <c r="V28" s="2">
        <v>51517.179999999818</v>
      </c>
      <c r="W28" s="2">
        <v>1025.309999999999</v>
      </c>
      <c r="X28" s="2">
        <v>279.44000000000233</v>
      </c>
    </row>
    <row r="29" spans="2:24">
      <c r="B29" s="4" t="s">
        <v>36</v>
      </c>
      <c r="C29" s="3">
        <v>446643.61999999982</v>
      </c>
      <c r="D29" s="3">
        <v>59948.970000000438</v>
      </c>
      <c r="E29" s="3">
        <v>80035.282173912608</v>
      </c>
      <c r="F29" s="3">
        <v>96707.871826087256</v>
      </c>
      <c r="G29" s="3">
        <v>32017.08399999993</v>
      </c>
      <c r="H29" s="3">
        <v>57690.619000000414</v>
      </c>
      <c r="I29" s="3">
        <v>52341.299000000581</v>
      </c>
      <c r="J29" s="3">
        <v>62666.36400000006</v>
      </c>
      <c r="K29" s="2">
        <v>32492.479000000279</v>
      </c>
      <c r="L29" s="2">
        <v>31470.401000000071</v>
      </c>
      <c r="M29" s="2">
        <v>80316.373000000138</v>
      </c>
      <c r="N29" s="2">
        <v>41156.346000000143</v>
      </c>
      <c r="O29" s="2">
        <v>77864.328999999911</v>
      </c>
      <c r="P29" s="2">
        <v>53051.968999999342</v>
      </c>
      <c r="Q29" s="2">
        <v>55540.412999999942</v>
      </c>
      <c r="R29" s="2">
        <v>60825.467739130341</v>
      </c>
      <c r="S29" s="2">
        <v>20742.75</v>
      </c>
      <c r="T29" s="2">
        <v>21014</v>
      </c>
      <c r="U29" s="2">
        <v>103141.8226086956</v>
      </c>
      <c r="V29" s="2">
        <v>52059.62956521743</v>
      </c>
      <c r="W29" s="2">
        <v>755.10999999999967</v>
      </c>
      <c r="X29" s="2">
        <v>240.51000000000201</v>
      </c>
    </row>
    <row r="30" spans="2:24">
      <c r="B30" s="4" t="s">
        <v>37</v>
      </c>
      <c r="C30" s="3">
        <v>453450.8000000015</v>
      </c>
      <c r="D30" s="3">
        <v>56034.19799999916</v>
      </c>
      <c r="E30" s="3">
        <v>73705.202000000834</v>
      </c>
      <c r="F30" s="3">
        <v>100434.7170000003</v>
      </c>
      <c r="G30" s="3">
        <v>32557.363999999779</v>
      </c>
      <c r="H30" s="3">
        <v>62877.711999999818</v>
      </c>
      <c r="I30" s="3">
        <v>55252.524999999907</v>
      </c>
      <c r="J30" s="3">
        <v>65025.316999999814</v>
      </c>
      <c r="K30" s="2">
        <v>34584.515999999603</v>
      </c>
      <c r="L30" s="2">
        <v>31681.439999999711</v>
      </c>
      <c r="M30" s="2">
        <v>79933.231000000145</v>
      </c>
      <c r="N30" s="2">
        <v>43983.839000000153</v>
      </c>
      <c r="O30" s="2">
        <v>85996.593000000808</v>
      </c>
      <c r="P30" s="2">
        <v>59041.500000000582</v>
      </c>
      <c r="Q30" s="2">
        <v>63465.785999999607</v>
      </c>
      <c r="R30" s="2">
        <v>59331.898999999932</v>
      </c>
      <c r="S30" s="2">
        <v>23519.520000000019</v>
      </c>
      <c r="T30" s="2">
        <v>20532.959999999959</v>
      </c>
      <c r="U30" s="2">
        <v>104546.1599999998</v>
      </c>
      <c r="V30" s="2">
        <v>50334.139999999978</v>
      </c>
      <c r="W30" s="2">
        <v>1431.300000000002</v>
      </c>
      <c r="X30" s="2">
        <v>336.75</v>
      </c>
    </row>
    <row r="31" spans="2:24">
      <c r="B31" s="4" t="s">
        <v>38</v>
      </c>
      <c r="C31" s="3">
        <v>350039.34999999893</v>
      </c>
      <c r="D31" s="3">
        <v>50128.922000000493</v>
      </c>
      <c r="E31" s="3">
        <v>62137.777999999511</v>
      </c>
      <c r="F31" s="3">
        <v>90497.563999999969</v>
      </c>
      <c r="G31" s="3">
        <v>28674.275000000289</v>
      </c>
      <c r="H31" s="3">
        <v>57033.177000000607</v>
      </c>
      <c r="I31" s="3">
        <v>50991.117999999777</v>
      </c>
      <c r="J31" s="3">
        <v>63314.377000000088</v>
      </c>
      <c r="K31" s="2">
        <v>29794.09800000046</v>
      </c>
      <c r="L31" s="2">
        <v>28555.26799999992</v>
      </c>
      <c r="M31" s="2">
        <v>77647.961999999592</v>
      </c>
      <c r="N31" s="2">
        <v>37868.569000000127</v>
      </c>
      <c r="O31" s="2">
        <v>73479.273999999743</v>
      </c>
      <c r="P31" s="2">
        <v>50447.496999999858</v>
      </c>
      <c r="Q31" s="2">
        <v>50007.200000000303</v>
      </c>
      <c r="R31" s="2">
        <v>61843.172000000079</v>
      </c>
      <c r="S31" s="2">
        <v>21679.579999999962</v>
      </c>
      <c r="T31" s="2">
        <v>20530.479999999981</v>
      </c>
      <c r="U31" s="2">
        <v>97296.700000000565</v>
      </c>
      <c r="V31" s="2">
        <v>45911.400000000009</v>
      </c>
      <c r="W31" s="2">
        <v>1093.93</v>
      </c>
      <c r="X31" s="2">
        <v>282.19999999999709</v>
      </c>
    </row>
    <row r="33" spans="2:24">
      <c r="B33" s="5" t="s">
        <v>40</v>
      </c>
      <c r="C33" s="6"/>
    </row>
    <row r="34" spans="2:24">
      <c r="B34" s="36" t="s">
        <v>4</v>
      </c>
      <c r="C34" s="37" t="s">
        <v>5</v>
      </c>
      <c r="D34" s="37" t="s">
        <v>6</v>
      </c>
      <c r="E34" s="37" t="s">
        <v>7</v>
      </c>
      <c r="F34" s="37" t="s">
        <v>8</v>
      </c>
      <c r="G34" s="37" t="s">
        <v>9</v>
      </c>
      <c r="H34" s="37" t="s">
        <v>10</v>
      </c>
      <c r="I34" s="37" t="s">
        <v>11</v>
      </c>
      <c r="J34" s="37" t="s">
        <v>12</v>
      </c>
      <c r="K34" s="37" t="s">
        <v>13</v>
      </c>
      <c r="L34" s="37" t="s">
        <v>14</v>
      </c>
      <c r="M34" s="37" t="s">
        <v>15</v>
      </c>
      <c r="N34" s="37" t="s">
        <v>16</v>
      </c>
      <c r="O34" s="37" t="s">
        <v>17</v>
      </c>
      <c r="P34" s="37" t="s">
        <v>18</v>
      </c>
      <c r="Q34" s="37" t="s">
        <v>19</v>
      </c>
      <c r="R34" s="37" t="s">
        <v>20</v>
      </c>
      <c r="S34" s="37" t="s">
        <v>21</v>
      </c>
      <c r="T34" s="37" t="s">
        <v>22</v>
      </c>
      <c r="U34" s="37" t="s">
        <v>23</v>
      </c>
      <c r="V34" s="37" t="s">
        <v>24</v>
      </c>
      <c r="W34" s="37" t="s">
        <v>25</v>
      </c>
      <c r="X34" s="37" t="s">
        <v>26</v>
      </c>
    </row>
    <row r="35" spans="2:24">
      <c r="B35" s="38" t="s">
        <v>27</v>
      </c>
      <c r="C35" s="39" t="s">
        <v>79</v>
      </c>
      <c r="D35" s="39" t="s">
        <v>80</v>
      </c>
      <c r="E35" s="39" t="s">
        <v>81</v>
      </c>
      <c r="F35" s="39" t="s">
        <v>82</v>
      </c>
      <c r="G35" s="39" t="s">
        <v>83</v>
      </c>
      <c r="H35" s="39" t="s">
        <v>84</v>
      </c>
      <c r="I35" s="39" t="s">
        <v>85</v>
      </c>
      <c r="J35" s="39" t="s">
        <v>86</v>
      </c>
      <c r="K35" s="39" t="s">
        <v>87</v>
      </c>
      <c r="L35" s="39" t="s">
        <v>88</v>
      </c>
      <c r="M35" s="39" t="s">
        <v>89</v>
      </c>
      <c r="N35" s="39" t="s">
        <v>90</v>
      </c>
      <c r="O35" s="39" t="s">
        <v>91</v>
      </c>
      <c r="P35" s="39" t="s">
        <v>92</v>
      </c>
      <c r="Q35" s="39" t="s">
        <v>93</v>
      </c>
      <c r="R35" s="39" t="s">
        <v>94</v>
      </c>
      <c r="S35" s="39" t="s">
        <v>95</v>
      </c>
      <c r="T35" s="39" t="s">
        <v>96</v>
      </c>
      <c r="U35" s="39" t="s">
        <v>97</v>
      </c>
      <c r="V35" s="39" t="s">
        <v>98</v>
      </c>
      <c r="W35" s="39" t="s">
        <v>99</v>
      </c>
      <c r="X35" s="39" t="s">
        <v>100</v>
      </c>
    </row>
    <row r="36" spans="2:24">
      <c r="B36" s="41" t="s">
        <v>28</v>
      </c>
      <c r="C36" s="42">
        <v>331951.55000000022</v>
      </c>
      <c r="D36" s="42">
        <v>43440.140000000363</v>
      </c>
      <c r="E36" s="42">
        <v>58054.059999999627</v>
      </c>
      <c r="F36" s="42">
        <v>88448.481000000567</v>
      </c>
      <c r="G36" s="42">
        <v>27001.492000000129</v>
      </c>
      <c r="H36" s="42">
        <v>54065.546999999322</v>
      </c>
      <c r="I36" s="42">
        <v>45006.589000000153</v>
      </c>
      <c r="J36" s="42">
        <v>57690.460999999661</v>
      </c>
      <c r="K36" s="43">
        <v>27517.960000000199</v>
      </c>
      <c r="L36" s="43">
        <v>20957.00800000026</v>
      </c>
      <c r="M36" s="43">
        <v>68860.091000000248</v>
      </c>
      <c r="N36" s="43">
        <v>34904.875999999931</v>
      </c>
      <c r="O36" s="43">
        <v>67567.314999999944</v>
      </c>
      <c r="P36" s="43">
        <v>46169.640999999603</v>
      </c>
      <c r="Q36" s="43">
        <v>46541.82699999935</v>
      </c>
      <c r="R36" s="43">
        <v>49753.12699999992</v>
      </c>
      <c r="S36" s="43">
        <v>19912.290000000041</v>
      </c>
      <c r="T36" s="43">
        <v>17268</v>
      </c>
      <c r="U36" s="43">
        <v>81092.199999999866</v>
      </c>
      <c r="V36" s="43">
        <v>42208.599999999977</v>
      </c>
      <c r="W36" s="43">
        <v>1035.8</v>
      </c>
      <c r="X36" s="43">
        <v>239</v>
      </c>
    </row>
    <row r="37" spans="2:24">
      <c r="B37" s="38" t="s">
        <v>29</v>
      </c>
      <c r="C37" s="40">
        <v>354297.41999999929</v>
      </c>
      <c r="D37" s="40">
        <v>50138.029999999097</v>
      </c>
      <c r="E37" s="40">
        <v>68636.470000000903</v>
      </c>
      <c r="F37" s="40">
        <v>95452.043999999994</v>
      </c>
      <c r="G37" s="40">
        <v>25347.610999999892</v>
      </c>
      <c r="H37" s="40">
        <v>55005.711000000469</v>
      </c>
      <c r="I37" s="40">
        <v>45725.401000000071</v>
      </c>
      <c r="J37" s="40">
        <v>57753.750000000473</v>
      </c>
      <c r="K37" s="39">
        <v>23909.94199999981</v>
      </c>
      <c r="L37" s="39">
        <v>21366.858999999939</v>
      </c>
      <c r="M37" s="39">
        <v>71853.244000000181</v>
      </c>
      <c r="N37" s="39">
        <v>35555.129999999888</v>
      </c>
      <c r="O37" s="39">
        <v>68525.722000000533</v>
      </c>
      <c r="P37" s="39">
        <v>46265.788000000182</v>
      </c>
      <c r="Q37" s="39">
        <v>27597.994000000181</v>
      </c>
      <c r="R37" s="39">
        <v>55978.73099999968</v>
      </c>
      <c r="S37" s="39">
        <v>24022.350000000089</v>
      </c>
      <c r="T37" s="39">
        <v>19903.43999999994</v>
      </c>
      <c r="U37" s="39">
        <v>89764.500000000509</v>
      </c>
      <c r="V37" s="39">
        <v>41240.60000000002</v>
      </c>
      <c r="W37" s="39">
        <v>895.85000000000423</v>
      </c>
      <c r="X37" s="39">
        <v>319.61000000000058</v>
      </c>
    </row>
    <row r="38" spans="2:24">
      <c r="B38" s="41" t="s">
        <v>30</v>
      </c>
      <c r="C38" s="42">
        <v>459301.64999999921</v>
      </c>
      <c r="D38" s="42">
        <v>51248.453000000212</v>
      </c>
      <c r="E38" s="42">
        <v>74478.446999999782</v>
      </c>
      <c r="F38" s="42">
        <v>98961.698000000004</v>
      </c>
      <c r="G38" s="42">
        <v>26204.311000000089</v>
      </c>
      <c r="H38" s="42">
        <v>54623.667000000001</v>
      </c>
      <c r="I38" s="42">
        <v>49514.568000000443</v>
      </c>
      <c r="J38" s="42">
        <v>63501.270999999477</v>
      </c>
      <c r="K38" s="43">
        <v>29478.581000000238</v>
      </c>
      <c r="L38" s="43">
        <v>23160.183999999779</v>
      </c>
      <c r="M38" s="43">
        <v>72681.35599999968</v>
      </c>
      <c r="N38" s="43">
        <v>38708.65000000014</v>
      </c>
      <c r="O38" s="43">
        <v>76149.129999998957</v>
      </c>
      <c r="P38" s="43">
        <v>51248.554999999469</v>
      </c>
      <c r="Q38" s="43">
        <v>44258.074999999721</v>
      </c>
      <c r="R38" s="43">
        <v>64399.099000000388</v>
      </c>
      <c r="S38" s="43">
        <v>25164.290000000041</v>
      </c>
      <c r="T38" s="43">
        <v>17981.040000000041</v>
      </c>
      <c r="U38" s="43">
        <v>92704.539999999644</v>
      </c>
      <c r="V38" s="43">
        <v>44866.66</v>
      </c>
      <c r="W38" s="43">
        <v>741.94999999999982</v>
      </c>
      <c r="X38" s="43">
        <v>254.18999999999511</v>
      </c>
    </row>
    <row r="39" spans="2:24">
      <c r="B39" s="38" t="s">
        <v>31</v>
      </c>
      <c r="C39" s="40">
        <v>525188.5600000018</v>
      </c>
      <c r="D39" s="40">
        <v>55137.269000000793</v>
      </c>
      <c r="E39" s="40">
        <v>77060.130999999208</v>
      </c>
      <c r="F39" s="40">
        <v>102870.8759999996</v>
      </c>
      <c r="G39" s="40">
        <v>29008.738999999681</v>
      </c>
      <c r="H39" s="40">
        <v>57700.305000000008</v>
      </c>
      <c r="I39" s="40">
        <v>53283.242999999318</v>
      </c>
      <c r="J39" s="40">
        <v>66673.50800000038</v>
      </c>
      <c r="K39" s="39">
        <v>33600.76699999976</v>
      </c>
      <c r="L39" s="39">
        <v>22806.91500000015</v>
      </c>
      <c r="M39" s="39">
        <v>76311.913000000175</v>
      </c>
      <c r="N39" s="39">
        <v>42850.526000000071</v>
      </c>
      <c r="O39" s="39">
        <v>79940.731000000378</v>
      </c>
      <c r="P39" s="39">
        <v>54376.463000000687</v>
      </c>
      <c r="Q39" s="39">
        <v>54735.385000000468</v>
      </c>
      <c r="R39" s="39">
        <v>65595.014000000025</v>
      </c>
      <c r="S39" s="39">
        <v>24046.719999999968</v>
      </c>
      <c r="T39" s="39">
        <v>18657.040000000041</v>
      </c>
      <c r="U39" s="39">
        <v>97933.420000000158</v>
      </c>
      <c r="V39" s="39">
        <v>48873.080000000024</v>
      </c>
      <c r="W39" s="39">
        <v>1053.510000000002</v>
      </c>
      <c r="X39" s="39">
        <v>199.34000000000381</v>
      </c>
    </row>
    <row r="40" spans="2:24">
      <c r="B40" s="41" t="s">
        <v>32</v>
      </c>
      <c r="C40" s="42"/>
      <c r="D40" s="42"/>
      <c r="E40" s="42"/>
      <c r="F40" s="42"/>
      <c r="G40" s="42"/>
      <c r="H40" s="42"/>
      <c r="I40" s="42"/>
      <c r="J40" s="42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</row>
    <row r="41" spans="2:24">
      <c r="B41" s="38" t="s">
        <v>33</v>
      </c>
      <c r="C41" s="40"/>
      <c r="D41" s="40"/>
      <c r="E41" s="40"/>
      <c r="F41" s="40"/>
      <c r="G41" s="40"/>
      <c r="H41" s="40"/>
      <c r="I41" s="40"/>
      <c r="J41" s="40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</row>
    <row r="42" spans="2:24">
      <c r="B42" s="41" t="s">
        <v>34</v>
      </c>
      <c r="C42" s="42"/>
      <c r="D42" s="42"/>
      <c r="E42" s="42"/>
      <c r="F42" s="42"/>
      <c r="G42" s="42"/>
      <c r="H42" s="42"/>
      <c r="I42" s="42"/>
      <c r="J42" s="42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</row>
    <row r="43" spans="2:24">
      <c r="B43" s="38" t="s">
        <v>35</v>
      </c>
      <c r="C43" s="40"/>
      <c r="D43" s="40"/>
      <c r="E43" s="40"/>
      <c r="F43" s="40"/>
      <c r="G43" s="40"/>
      <c r="H43" s="40"/>
      <c r="I43" s="40"/>
      <c r="J43" s="40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</row>
    <row r="44" spans="2:24">
      <c r="B44" s="41" t="s">
        <v>36</v>
      </c>
      <c r="C44" s="42"/>
      <c r="D44" s="42"/>
      <c r="E44" s="42"/>
      <c r="F44" s="42"/>
      <c r="G44" s="42"/>
      <c r="H44" s="42"/>
      <c r="I44" s="42"/>
      <c r="J44" s="42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</row>
    <row r="45" spans="2:24">
      <c r="B45" s="38" t="s">
        <v>37</v>
      </c>
      <c r="C45" s="40"/>
      <c r="D45" s="40"/>
      <c r="E45" s="40"/>
      <c r="F45" s="40"/>
      <c r="G45" s="40"/>
      <c r="H45" s="40"/>
      <c r="I45" s="40"/>
      <c r="J45" s="40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</row>
    <row r="46" spans="2:24">
      <c r="B46" s="41" t="s">
        <v>38</v>
      </c>
      <c r="C46" s="42"/>
      <c r="D46" s="42"/>
      <c r="E46" s="42"/>
      <c r="F46" s="42"/>
      <c r="G46" s="42"/>
      <c r="H46" s="42"/>
      <c r="I46" s="42"/>
      <c r="J46" s="42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B1:F31"/>
  <sheetViews>
    <sheetView zoomScaleNormal="100" workbookViewId="0">
      <pane xSplit="3" ySplit="2" topLeftCell="D15" activePane="bottomRight" state="frozen"/>
      <selection pane="topRight" activeCell="D1" sqref="D1"/>
      <selection pane="bottomLeft" activeCell="A5" sqref="A5"/>
      <selection pane="bottomRight" activeCell="D28" sqref="D28"/>
    </sheetView>
  </sheetViews>
  <sheetFormatPr defaultColWidth="8.53125" defaultRowHeight="14.25"/>
  <cols>
    <col min="1" max="1" width="2" style="1" customWidth="1"/>
    <col min="2" max="2" width="9.46484375" style="7" customWidth="1"/>
    <col min="3" max="3" width="8.53125" style="1" customWidth="1"/>
    <col min="4" max="6" width="30.796875" style="1" customWidth="1"/>
    <col min="7" max="7" width="8.53125" style="1" customWidth="1"/>
    <col min="8" max="16384" width="8.53125" style="1"/>
  </cols>
  <sheetData>
    <row r="1" spans="2:6" ht="31.05" customHeight="1">
      <c r="C1" s="1" t="s">
        <v>41</v>
      </c>
      <c r="D1" s="9"/>
      <c r="E1" s="9"/>
      <c r="F1" s="9"/>
    </row>
    <row r="2" spans="2:6">
      <c r="C2" s="10" t="s">
        <v>1</v>
      </c>
      <c r="D2" s="11" t="s">
        <v>42</v>
      </c>
      <c r="E2" s="15" t="s">
        <v>43</v>
      </c>
      <c r="F2" s="15" t="s">
        <v>44</v>
      </c>
    </row>
    <row r="3" spans="2:6">
      <c r="B3" s="17">
        <v>2024</v>
      </c>
      <c r="C3" s="12">
        <v>45292</v>
      </c>
      <c r="D3" s="13">
        <v>9387.4</v>
      </c>
      <c r="E3" s="13">
        <v>2809.4</v>
      </c>
      <c r="F3" s="13">
        <f>Table262[[#This Row],[Cu3 (Portable Water)]]+Table262[[#This Row],[Cu3 (NEWater)]]</f>
        <v>12196.8</v>
      </c>
    </row>
    <row r="4" spans="2:6">
      <c r="C4" s="12">
        <v>45323</v>
      </c>
      <c r="D4" s="13">
        <v>8697.5</v>
      </c>
      <c r="E4" s="13">
        <v>5057.5</v>
      </c>
      <c r="F4" s="13">
        <f>Table262[[#This Row],[Cu3 (Portable Water)]]+Table262[[#This Row],[Cu3 (NEWater)]]</f>
        <v>13755</v>
      </c>
    </row>
    <row r="5" spans="2:6">
      <c r="C5" s="12">
        <v>45352</v>
      </c>
      <c r="D5" s="13">
        <v>7831.7</v>
      </c>
      <c r="E5" s="13">
        <v>4168.8999999999996</v>
      </c>
      <c r="F5" s="13">
        <f>Table262[[#This Row],[Cu3 (Portable Water)]]+Table262[[#This Row],[Cu3 (NEWater)]]</f>
        <v>12000.599999999999</v>
      </c>
    </row>
    <row r="6" spans="2:6">
      <c r="C6" s="12">
        <v>45383</v>
      </c>
      <c r="D6" s="13">
        <v>9334</v>
      </c>
      <c r="E6" s="13">
        <v>7953</v>
      </c>
      <c r="F6" s="13">
        <f>Table262[[#This Row],[Cu3 (Portable Water)]]+Table262[[#This Row],[Cu3 (NEWater)]]</f>
        <v>17287</v>
      </c>
    </row>
    <row r="7" spans="2:6">
      <c r="C7" s="12">
        <v>45413</v>
      </c>
      <c r="D7" s="13">
        <v>-3086</v>
      </c>
      <c r="E7" s="13">
        <v>6160.4</v>
      </c>
      <c r="F7" s="13">
        <f>Table262[[#This Row],[Cu3 (Portable Water)]]+Table262[[#This Row],[Cu3 (NEWater)]]</f>
        <v>3074.3999999999996</v>
      </c>
    </row>
    <row r="8" spans="2:6">
      <c r="C8" s="12">
        <v>45444</v>
      </c>
      <c r="D8" s="13">
        <v>2893.1</v>
      </c>
      <c r="E8" s="13">
        <v>5582.9</v>
      </c>
      <c r="F8" s="13">
        <f>Table262[[#This Row],[Cu3 (Portable Water)]]+Table262[[#This Row],[Cu3 (NEWater)]]</f>
        <v>8476</v>
      </c>
    </row>
    <row r="9" spans="2:6">
      <c r="C9" s="12">
        <v>45474</v>
      </c>
      <c r="D9" s="13">
        <v>6668.1</v>
      </c>
      <c r="E9" s="13">
        <v>5532.4</v>
      </c>
      <c r="F9" s="13">
        <f>Table262[[#This Row],[Cu3 (Portable Water)]]+Table262[[#This Row],[Cu3 (NEWater)]]</f>
        <v>12200.5</v>
      </c>
    </row>
    <row r="10" spans="2:6">
      <c r="C10" s="12">
        <v>45505</v>
      </c>
      <c r="D10" s="13">
        <v>7120.8</v>
      </c>
      <c r="E10" s="13">
        <v>6435.2</v>
      </c>
      <c r="F10" s="13">
        <f>Table262[[#This Row],[Cu3 (Portable Water)]]+Table262[[#This Row],[Cu3 (NEWater)]]</f>
        <v>13556</v>
      </c>
    </row>
    <row r="11" spans="2:6">
      <c r="C11" s="12">
        <v>45536</v>
      </c>
      <c r="D11" s="13">
        <v>2572.1999999999998</v>
      </c>
      <c r="E11" s="13">
        <v>5694.4</v>
      </c>
      <c r="F11" s="13">
        <f>Table262[[#This Row],[Cu3 (Portable Water)]]+Table262[[#This Row],[Cu3 (NEWater)]]</f>
        <v>8266.5999999999985</v>
      </c>
    </row>
    <row r="12" spans="2:6">
      <c r="C12" s="12">
        <v>45566</v>
      </c>
      <c r="D12" s="13">
        <v>4478.3999999999996</v>
      </c>
      <c r="E12" s="13">
        <v>5685.8</v>
      </c>
      <c r="F12" s="13">
        <f>Table262[[#This Row],[Cu3 (Portable Water)]]+Table262[[#This Row],[Cu3 (NEWater)]]</f>
        <v>10164.200000000001</v>
      </c>
    </row>
    <row r="13" spans="2:6">
      <c r="C13" s="12">
        <v>45597</v>
      </c>
      <c r="D13" s="13">
        <v>7065.7</v>
      </c>
      <c r="E13" s="13">
        <v>4677.7</v>
      </c>
      <c r="F13" s="13">
        <f>Table262[[#This Row],[Cu3 (Portable Water)]]+Table262[[#This Row],[Cu3 (NEWater)]]</f>
        <v>11743.4</v>
      </c>
    </row>
    <row r="14" spans="2:6">
      <c r="C14" s="12">
        <v>45627</v>
      </c>
      <c r="D14" s="13">
        <v>2912</v>
      </c>
      <c r="E14" s="13">
        <v>5354.4</v>
      </c>
      <c r="F14" s="13">
        <f>Table262[[#This Row],[Cu3 (Portable Water)]]+Table262[[#This Row],[Cu3 (NEWater)]]</f>
        <v>8266.4</v>
      </c>
    </row>
    <row r="15" spans="2:6">
      <c r="B15" s="17">
        <v>2025</v>
      </c>
      <c r="C15" s="12">
        <v>45658</v>
      </c>
      <c r="D15" s="13">
        <v>6038.4</v>
      </c>
      <c r="E15" s="13">
        <v>3458.9</v>
      </c>
      <c r="F15" s="13">
        <f>Table262[[#This Row],[Cu3 (Portable Water)]]+Table262[[#This Row],[Cu3 (NEWater)]]</f>
        <v>9497.2999999999993</v>
      </c>
    </row>
    <row r="16" spans="2:6">
      <c r="C16" s="12">
        <v>45689</v>
      </c>
      <c r="D16" s="13">
        <v>6754</v>
      </c>
      <c r="E16" s="13">
        <v>4406.7</v>
      </c>
      <c r="F16" s="13">
        <f>Table262[[#This Row],[Cu3 (Portable Water)]]+Table262[[#This Row],[Cu3 (NEWater)]]</f>
        <v>11160.7</v>
      </c>
    </row>
    <row r="17" spans="2:6" ht="15" customHeight="1" thickBot="1">
      <c r="C17" s="12">
        <v>45717</v>
      </c>
      <c r="D17" s="16">
        <v>1229.9000000000001</v>
      </c>
      <c r="E17" s="16">
        <v>4712.3999999999996</v>
      </c>
      <c r="F17" s="13">
        <f>Table262[[#This Row],[Cu3 (Portable Water)]]+Table262[[#This Row],[Cu3 (NEWater)]]</f>
        <v>5942.2999999999993</v>
      </c>
    </row>
    <row r="18" spans="2:6">
      <c r="C18" s="12">
        <v>45748</v>
      </c>
      <c r="D18" s="13">
        <v>4099.2</v>
      </c>
      <c r="E18" s="13">
        <v>4791.3999999999996</v>
      </c>
      <c r="F18" s="13">
        <f>Table262[[#This Row],[Cu3 (Portable Water)]]+Table262[[#This Row],[Cu3 (NEWater)]]</f>
        <v>8890.5999999999985</v>
      </c>
    </row>
    <row r="19" spans="2:6">
      <c r="C19" s="12">
        <v>45778</v>
      </c>
      <c r="D19" s="13">
        <v>5425.9</v>
      </c>
      <c r="E19" s="13">
        <v>6037</v>
      </c>
      <c r="F19" s="13">
        <f>Table262[[#This Row],[Cu3 (Portable Water)]]+Table262[[#This Row],[Cu3 (NEWater)]]</f>
        <v>11462.9</v>
      </c>
    </row>
    <row r="20" spans="2:6">
      <c r="C20" s="12">
        <v>45809</v>
      </c>
      <c r="D20" s="13">
        <v>2816.3</v>
      </c>
      <c r="E20" s="13">
        <v>5239.5</v>
      </c>
      <c r="F20" s="13">
        <f>Table262[[#This Row],[Cu3 (Portable Water)]]+Table262[[#This Row],[Cu3 (NEWater)]]</f>
        <v>8055.8</v>
      </c>
    </row>
    <row r="21" spans="2:6">
      <c r="C21" s="12">
        <v>45839</v>
      </c>
      <c r="D21" s="13">
        <v>7707.3</v>
      </c>
      <c r="E21" s="13">
        <v>6700.9</v>
      </c>
      <c r="F21" s="13">
        <f>Table262[[#This Row],[Cu3 (Portable Water)]]+Table262[[#This Row],[Cu3 (NEWater)]]</f>
        <v>14408.2</v>
      </c>
    </row>
    <row r="22" spans="2:6">
      <c r="C22" s="12">
        <v>45870</v>
      </c>
      <c r="D22" s="13">
        <v>6034.9</v>
      </c>
      <c r="E22" s="13">
        <v>5585.1</v>
      </c>
      <c r="F22" s="13">
        <v>11620</v>
      </c>
    </row>
    <row r="23" spans="2:6">
      <c r="C23" s="12">
        <v>45901</v>
      </c>
      <c r="D23" s="13">
        <v>2456.5</v>
      </c>
      <c r="E23" s="13">
        <v>4385.3</v>
      </c>
      <c r="F23" s="13">
        <v>6841.8</v>
      </c>
    </row>
    <row r="24" spans="2:6">
      <c r="C24" s="12">
        <v>45931</v>
      </c>
      <c r="D24" s="13">
        <v>4630.1000000000004</v>
      </c>
      <c r="E24" s="13">
        <v>5500.9</v>
      </c>
      <c r="F24" s="13">
        <v>10131</v>
      </c>
    </row>
    <row r="25" spans="2:6">
      <c r="C25" s="12">
        <v>45962</v>
      </c>
      <c r="D25" s="13">
        <v>4733.2</v>
      </c>
      <c r="E25" s="13">
        <v>4739</v>
      </c>
      <c r="F25" s="13">
        <v>9472.2000000000007</v>
      </c>
    </row>
    <row r="26" spans="2:6">
      <c r="C26" s="12">
        <v>45992</v>
      </c>
      <c r="D26" s="13">
        <v>2480.6</v>
      </c>
      <c r="E26" s="13">
        <v>5371.8</v>
      </c>
      <c r="F26" s="13">
        <v>7852.4</v>
      </c>
    </row>
    <row r="27" spans="2:6">
      <c r="B27" s="17">
        <v>2026</v>
      </c>
      <c r="C27" s="12">
        <v>46023</v>
      </c>
      <c r="D27" s="13">
        <v>7016.8</v>
      </c>
      <c r="E27" s="13">
        <v>3818</v>
      </c>
      <c r="F27" s="13">
        <v>10834.8</v>
      </c>
    </row>
    <row r="28" spans="2:6">
      <c r="C28" s="12">
        <v>46054</v>
      </c>
      <c r="D28" s="13">
        <v>6668.8</v>
      </c>
      <c r="E28" s="13">
        <v>4307.7</v>
      </c>
      <c r="F28" s="13">
        <v>10976.5</v>
      </c>
    </row>
    <row r="29" spans="2:6">
      <c r="C29" s="12">
        <v>46082</v>
      </c>
      <c r="D29" s="13">
        <v>1952.9</v>
      </c>
      <c r="E29" s="13">
        <v>4691.8999999999996</v>
      </c>
      <c r="F29" s="13">
        <v>6644.7999999999993</v>
      </c>
    </row>
    <row r="30" spans="2:6">
      <c r="C30" s="12">
        <v>46113</v>
      </c>
      <c r="D30" s="13">
        <v>4463.6000000000004</v>
      </c>
      <c r="E30" s="13">
        <v>4810.1000000000004</v>
      </c>
      <c r="F30" s="13">
        <v>9273.7000000000007</v>
      </c>
    </row>
    <row r="31" spans="2:6">
      <c r="C31" s="12">
        <v>46143</v>
      </c>
      <c r="D31" s="13">
        <v>7256.3</v>
      </c>
      <c r="E31" s="13">
        <v>4619.6000000000004</v>
      </c>
      <c r="F31" s="13">
        <v>11875.9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V30"/>
  <sheetViews>
    <sheetView zoomScale="85" zoomScaleNormal="85" workbookViewId="0">
      <selection activeCell="C20" sqref="C20"/>
    </sheetView>
  </sheetViews>
  <sheetFormatPr defaultRowHeight="14.25"/>
  <cols>
    <col min="1" max="1" width="4.19921875" customWidth="1"/>
    <col min="2" max="2" width="25.06640625" customWidth="1"/>
    <col min="3" max="3" width="13.46484375" bestFit="1" customWidth="1"/>
    <col min="4" max="4" width="13.9296875" bestFit="1" customWidth="1"/>
    <col min="5" max="10" width="13.46484375" bestFit="1" customWidth="1"/>
    <col min="11" max="11" width="15.73046875" customWidth="1"/>
    <col min="12" max="12" width="14" customWidth="1"/>
    <col min="13" max="13" width="13" customWidth="1"/>
    <col min="14" max="14" width="14.06640625" customWidth="1"/>
    <col min="15" max="22" width="13.06640625" customWidth="1"/>
  </cols>
  <sheetData>
    <row r="2" spans="2:22">
      <c r="B2" s="5" t="s">
        <v>45</v>
      </c>
      <c r="C2" s="6"/>
    </row>
    <row r="3" spans="2:22">
      <c r="B3" s="4" t="s">
        <v>1</v>
      </c>
      <c r="C3" s="1" t="s">
        <v>8</v>
      </c>
      <c r="D3" s="1" t="s">
        <v>9</v>
      </c>
      <c r="E3" s="1" t="s">
        <v>46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47</v>
      </c>
      <c r="M3" s="1" t="s">
        <v>18</v>
      </c>
      <c r="N3" s="1" t="s">
        <v>19</v>
      </c>
      <c r="O3" s="1" t="s">
        <v>6</v>
      </c>
      <c r="P3" s="1" t="s">
        <v>7</v>
      </c>
      <c r="Q3" s="1" t="s">
        <v>48</v>
      </c>
      <c r="R3" s="1" t="s">
        <v>24</v>
      </c>
      <c r="S3" s="1" t="s">
        <v>49</v>
      </c>
      <c r="T3" s="1" t="s">
        <v>50</v>
      </c>
      <c r="U3" s="1" t="s">
        <v>51</v>
      </c>
      <c r="V3" s="1" t="s">
        <v>52</v>
      </c>
    </row>
    <row r="4" spans="2:22">
      <c r="B4" s="25" t="s">
        <v>27</v>
      </c>
      <c r="C4" s="24">
        <v>224</v>
      </c>
      <c r="D4" s="24">
        <v>200</v>
      </c>
      <c r="E4" s="24">
        <v>236</v>
      </c>
      <c r="F4" s="24">
        <v>260</v>
      </c>
      <c r="G4" s="24">
        <v>360</v>
      </c>
      <c r="H4" s="24">
        <v>250</v>
      </c>
      <c r="I4" s="24">
        <v>280</v>
      </c>
      <c r="J4" s="24">
        <v>230</v>
      </c>
      <c r="K4" s="23">
        <v>202</v>
      </c>
      <c r="L4" s="23">
        <v>460</v>
      </c>
      <c r="M4" s="23">
        <v>310</v>
      </c>
      <c r="N4" s="23">
        <v>430</v>
      </c>
      <c r="O4" s="23">
        <v>240</v>
      </c>
      <c r="P4" s="23">
        <v>213</v>
      </c>
      <c r="Q4" s="23">
        <v>149</v>
      </c>
      <c r="R4" s="23">
        <v>14</v>
      </c>
      <c r="S4" s="23">
        <v>23</v>
      </c>
      <c r="T4" s="23">
        <v>226</v>
      </c>
      <c r="U4" s="23">
        <v>42</v>
      </c>
      <c r="V4" s="23">
        <v>63</v>
      </c>
    </row>
    <row r="5" spans="2:22">
      <c r="B5" s="25" t="s">
        <v>28</v>
      </c>
      <c r="C5" s="24">
        <v>186</v>
      </c>
      <c r="D5" s="24">
        <v>156</v>
      </c>
      <c r="E5" s="24">
        <v>198</v>
      </c>
      <c r="F5" s="24">
        <v>205</v>
      </c>
      <c r="G5" s="24">
        <v>290</v>
      </c>
      <c r="H5" s="24">
        <v>210</v>
      </c>
      <c r="I5" s="24">
        <v>230</v>
      </c>
      <c r="J5" s="24">
        <v>210</v>
      </c>
      <c r="K5" s="23">
        <v>202</v>
      </c>
      <c r="L5" s="23">
        <v>390</v>
      </c>
      <c r="M5" s="23">
        <v>260</v>
      </c>
      <c r="N5" s="23">
        <v>360</v>
      </c>
      <c r="O5" s="23">
        <v>260</v>
      </c>
      <c r="P5" s="23">
        <v>122</v>
      </c>
      <c r="Q5" s="23">
        <v>92</v>
      </c>
      <c r="R5" s="23">
        <v>23</v>
      </c>
      <c r="S5" s="23">
        <v>42</v>
      </c>
      <c r="T5" s="23">
        <v>190</v>
      </c>
      <c r="U5" s="23">
        <v>18</v>
      </c>
      <c r="V5" s="23">
        <v>28</v>
      </c>
    </row>
    <row r="6" spans="2:22">
      <c r="B6" s="25" t="s">
        <v>29</v>
      </c>
      <c r="C6" s="24">
        <v>220</v>
      </c>
      <c r="D6" s="24">
        <v>210</v>
      </c>
      <c r="E6" s="24">
        <v>226</v>
      </c>
      <c r="F6" s="24">
        <v>240</v>
      </c>
      <c r="G6" s="24">
        <v>270</v>
      </c>
      <c r="H6" s="24">
        <v>262</v>
      </c>
      <c r="I6" s="24">
        <v>280</v>
      </c>
      <c r="J6" s="24">
        <v>264</v>
      </c>
      <c r="K6" s="23">
        <v>248</v>
      </c>
      <c r="L6" s="23">
        <v>296</v>
      </c>
      <c r="M6" s="23">
        <v>270</v>
      </c>
      <c r="N6" s="23">
        <v>305</v>
      </c>
      <c r="O6" s="23">
        <v>207</v>
      </c>
      <c r="P6" s="23">
        <v>256</v>
      </c>
      <c r="Q6" s="23">
        <v>53</v>
      </c>
      <c r="R6" s="23">
        <v>11</v>
      </c>
      <c r="S6" s="23">
        <v>64</v>
      </c>
      <c r="T6" s="23">
        <v>232</v>
      </c>
      <c r="U6" s="23">
        <v>51</v>
      </c>
      <c r="V6" s="23">
        <v>19</v>
      </c>
    </row>
    <row r="7" spans="2:22">
      <c r="B7" s="25" t="s">
        <v>30</v>
      </c>
      <c r="C7" s="24">
        <v>210</v>
      </c>
      <c r="D7" s="24">
        <v>190</v>
      </c>
      <c r="E7" s="24">
        <v>204</v>
      </c>
      <c r="F7" s="24">
        <v>216</v>
      </c>
      <c r="G7" s="24">
        <v>260</v>
      </c>
      <c r="H7" s="24">
        <v>226</v>
      </c>
      <c r="I7" s="24">
        <v>286</v>
      </c>
      <c r="J7" s="24">
        <v>216</v>
      </c>
      <c r="K7" s="23">
        <v>198</v>
      </c>
      <c r="L7" s="23">
        <v>310</v>
      </c>
      <c r="M7" s="23">
        <v>236</v>
      </c>
      <c r="N7" s="23">
        <v>286</v>
      </c>
      <c r="O7" s="23">
        <v>275</v>
      </c>
      <c r="P7" s="23">
        <v>237</v>
      </c>
      <c r="Q7" s="23">
        <v>98</v>
      </c>
      <c r="R7" s="23">
        <v>13</v>
      </c>
      <c r="S7" s="23">
        <v>24</v>
      </c>
      <c r="T7" s="23">
        <v>123</v>
      </c>
      <c r="U7" s="23">
        <v>25</v>
      </c>
      <c r="V7" s="23">
        <v>25</v>
      </c>
    </row>
    <row r="8" spans="2:22">
      <c r="B8" s="25" t="s">
        <v>31</v>
      </c>
      <c r="C8" s="24">
        <v>439.9</v>
      </c>
      <c r="D8" s="24">
        <v>268</v>
      </c>
      <c r="E8" s="24">
        <v>497.4</v>
      </c>
      <c r="F8" s="24">
        <v>506</v>
      </c>
      <c r="G8" s="24">
        <v>245.3</v>
      </c>
      <c r="H8" s="24">
        <v>238</v>
      </c>
      <c r="I8" s="24">
        <v>272.39999999999998</v>
      </c>
      <c r="J8" s="24">
        <v>382.4</v>
      </c>
      <c r="K8" s="23">
        <v>314</v>
      </c>
      <c r="L8" s="23">
        <v>334.4</v>
      </c>
      <c r="M8" s="23">
        <v>315.2</v>
      </c>
      <c r="N8" s="23">
        <v>376</v>
      </c>
      <c r="O8" s="23">
        <v>279</v>
      </c>
      <c r="P8" s="23">
        <v>218</v>
      </c>
      <c r="Q8" s="23">
        <v>183</v>
      </c>
      <c r="R8" s="23">
        <v>15</v>
      </c>
      <c r="S8" s="23">
        <v>46</v>
      </c>
      <c r="T8" s="23">
        <v>373</v>
      </c>
      <c r="U8" s="23">
        <v>22</v>
      </c>
      <c r="V8" s="23">
        <v>42</v>
      </c>
    </row>
    <row r="9" spans="2:22">
      <c r="B9" s="25" t="s">
        <v>32</v>
      </c>
      <c r="C9" s="24">
        <v>395</v>
      </c>
      <c r="D9" s="24">
        <v>210</v>
      </c>
      <c r="E9" s="24">
        <v>380</v>
      </c>
      <c r="F9" s="24">
        <v>259</v>
      </c>
      <c r="G9" s="24">
        <v>210</v>
      </c>
      <c r="H9" s="24">
        <v>210</v>
      </c>
      <c r="I9" s="24">
        <v>220</v>
      </c>
      <c r="J9" s="24">
        <v>228</v>
      </c>
      <c r="K9" s="23">
        <v>93</v>
      </c>
      <c r="L9" s="23">
        <v>320</v>
      </c>
      <c r="M9" s="23">
        <v>240</v>
      </c>
      <c r="N9" s="23">
        <v>260</v>
      </c>
      <c r="O9" s="23">
        <v>242</v>
      </c>
      <c r="P9" s="23">
        <v>111</v>
      </c>
      <c r="Q9" s="23">
        <v>113</v>
      </c>
      <c r="R9" s="23">
        <v>8</v>
      </c>
      <c r="S9" s="23">
        <v>76</v>
      </c>
      <c r="T9" s="23">
        <v>211</v>
      </c>
      <c r="U9" s="23">
        <v>16</v>
      </c>
      <c r="V9" s="23">
        <v>36</v>
      </c>
    </row>
    <row r="10" spans="2:22">
      <c r="B10" s="25" t="s">
        <v>33</v>
      </c>
      <c r="C10" s="24">
        <v>420</v>
      </c>
      <c r="D10" s="24">
        <v>296</v>
      </c>
      <c r="E10" s="24">
        <v>402</v>
      </c>
      <c r="F10" s="24">
        <v>442</v>
      </c>
      <c r="G10" s="24">
        <v>310</v>
      </c>
      <c r="H10" s="24">
        <v>320</v>
      </c>
      <c r="I10" s="24">
        <v>436</v>
      </c>
      <c r="J10" s="24">
        <v>336</v>
      </c>
      <c r="K10" s="23">
        <v>310</v>
      </c>
      <c r="L10" s="23">
        <v>380</v>
      </c>
      <c r="M10" s="23">
        <v>280</v>
      </c>
      <c r="N10" s="23">
        <v>370</v>
      </c>
      <c r="O10" s="23">
        <v>327</v>
      </c>
      <c r="P10" s="23">
        <v>166</v>
      </c>
      <c r="Q10" s="23">
        <v>300</v>
      </c>
      <c r="R10" s="23">
        <v>18</v>
      </c>
      <c r="S10" s="23">
        <v>36</v>
      </c>
      <c r="T10" s="23">
        <v>328</v>
      </c>
      <c r="U10" s="23">
        <v>23</v>
      </c>
      <c r="V10" s="23">
        <v>39</v>
      </c>
    </row>
    <row r="11" spans="2:22">
      <c r="B11" s="25" t="s">
        <v>34</v>
      </c>
      <c r="C11" s="24">
        <v>380</v>
      </c>
      <c r="D11" s="24">
        <v>226</v>
      </c>
      <c r="E11" s="24">
        <v>360</v>
      </c>
      <c r="F11" s="24">
        <v>348</v>
      </c>
      <c r="G11" s="24">
        <v>240</v>
      </c>
      <c r="H11" s="24">
        <v>210</v>
      </c>
      <c r="I11" s="24">
        <v>224</v>
      </c>
      <c r="J11" s="24">
        <v>280</v>
      </c>
      <c r="K11" s="23">
        <v>260</v>
      </c>
      <c r="L11" s="23">
        <v>310</v>
      </c>
      <c r="M11" s="23">
        <v>260</v>
      </c>
      <c r="N11" s="23">
        <v>290</v>
      </c>
      <c r="O11" s="23">
        <v>344</v>
      </c>
      <c r="P11" s="23">
        <v>138</v>
      </c>
      <c r="Q11" s="23">
        <v>140</v>
      </c>
      <c r="R11" s="23">
        <v>16</v>
      </c>
      <c r="S11" s="23">
        <v>30</v>
      </c>
      <c r="T11" s="23">
        <v>480</v>
      </c>
      <c r="U11" s="23">
        <v>22</v>
      </c>
      <c r="V11" s="23">
        <v>48</v>
      </c>
    </row>
    <row r="12" spans="2:22">
      <c r="B12" s="25" t="s">
        <v>35</v>
      </c>
      <c r="C12" s="23">
        <v>280</v>
      </c>
      <c r="D12" s="23">
        <v>120</v>
      </c>
      <c r="E12" s="23">
        <v>102</v>
      </c>
      <c r="F12" s="23">
        <v>110</v>
      </c>
      <c r="G12" s="23">
        <v>180</v>
      </c>
      <c r="H12" s="23">
        <v>160</v>
      </c>
      <c r="I12" s="23">
        <v>240</v>
      </c>
      <c r="J12" s="23">
        <v>186</v>
      </c>
      <c r="K12" s="23">
        <v>103</v>
      </c>
      <c r="L12" s="23">
        <v>220</v>
      </c>
      <c r="M12" s="23">
        <v>190</v>
      </c>
      <c r="N12" s="23">
        <v>186</v>
      </c>
      <c r="O12" s="23">
        <v>261</v>
      </c>
      <c r="P12" s="23">
        <v>136</v>
      </c>
      <c r="Q12" s="23">
        <v>125</v>
      </c>
      <c r="R12" s="23">
        <v>7</v>
      </c>
      <c r="S12" s="23">
        <v>198</v>
      </c>
      <c r="T12" s="23">
        <v>238</v>
      </c>
      <c r="U12" s="23">
        <v>19</v>
      </c>
      <c r="V12" s="23">
        <v>59</v>
      </c>
    </row>
    <row r="13" spans="2:22">
      <c r="B13" s="25" t="s">
        <v>36</v>
      </c>
      <c r="C13" s="23">
        <v>398</v>
      </c>
      <c r="D13" s="23">
        <v>206</v>
      </c>
      <c r="E13" s="23">
        <v>284</v>
      </c>
      <c r="F13" s="23">
        <v>198</v>
      </c>
      <c r="G13" s="23">
        <v>208</v>
      </c>
      <c r="H13" s="23">
        <v>213</v>
      </c>
      <c r="I13" s="23">
        <v>198</v>
      </c>
      <c r="J13" s="23">
        <v>227</v>
      </c>
      <c r="K13" s="23">
        <v>172</v>
      </c>
      <c r="L13" s="23">
        <v>260</v>
      </c>
      <c r="M13" s="23">
        <v>243</v>
      </c>
      <c r="N13" s="23">
        <v>310</v>
      </c>
      <c r="O13" s="23">
        <v>282</v>
      </c>
      <c r="P13" s="23">
        <v>278</v>
      </c>
      <c r="Q13" s="23">
        <v>158</v>
      </c>
      <c r="R13" s="23">
        <v>19</v>
      </c>
      <c r="S13" s="23">
        <v>42</v>
      </c>
      <c r="T13" s="23">
        <v>330</v>
      </c>
      <c r="U13" s="23">
        <v>29</v>
      </c>
      <c r="V13" s="23">
        <v>42</v>
      </c>
    </row>
    <row r="14" spans="2:22">
      <c r="B14" s="25" t="s">
        <v>37</v>
      </c>
      <c r="C14" s="23">
        <v>420</v>
      </c>
      <c r="D14" s="23">
        <v>296</v>
      </c>
      <c r="E14" s="23">
        <v>380</v>
      </c>
      <c r="F14" s="23">
        <v>406</v>
      </c>
      <c r="G14" s="23">
        <v>310</v>
      </c>
      <c r="H14" s="23">
        <v>320</v>
      </c>
      <c r="I14" s="23">
        <v>418</v>
      </c>
      <c r="J14" s="23">
        <v>336</v>
      </c>
      <c r="K14" s="23">
        <v>310</v>
      </c>
      <c r="L14" s="23">
        <v>410</v>
      </c>
      <c r="M14" s="23">
        <v>280</v>
      </c>
      <c r="N14" s="23">
        <v>398</v>
      </c>
      <c r="O14" s="23">
        <v>262</v>
      </c>
      <c r="P14" s="23">
        <v>214</v>
      </c>
      <c r="Q14" s="23">
        <v>143</v>
      </c>
      <c r="R14" s="23">
        <v>17</v>
      </c>
      <c r="S14" s="23">
        <v>39</v>
      </c>
      <c r="T14" s="23">
        <v>284</v>
      </c>
      <c r="U14" s="23">
        <v>18</v>
      </c>
      <c r="V14" s="23">
        <v>24</v>
      </c>
    </row>
    <row r="15" spans="2:22">
      <c r="B15" s="25" t="s">
        <v>38</v>
      </c>
      <c r="C15" s="23">
        <v>115</v>
      </c>
      <c r="D15" s="23">
        <v>101</v>
      </c>
      <c r="E15" s="23">
        <v>102</v>
      </c>
      <c r="F15" s="23">
        <v>110</v>
      </c>
      <c r="G15" s="23">
        <v>106</v>
      </c>
      <c r="H15" s="23">
        <v>108</v>
      </c>
      <c r="I15" s="23">
        <v>112</v>
      </c>
      <c r="J15" s="23">
        <v>104</v>
      </c>
      <c r="K15" s="23">
        <v>103</v>
      </c>
      <c r="L15" s="23">
        <v>102</v>
      </c>
      <c r="M15" s="23">
        <v>108</v>
      </c>
      <c r="N15" s="23">
        <v>105</v>
      </c>
      <c r="O15" s="23">
        <v>311</v>
      </c>
      <c r="P15" s="23">
        <v>138</v>
      </c>
      <c r="Q15" s="23">
        <v>183</v>
      </c>
      <c r="R15" s="23">
        <v>12</v>
      </c>
      <c r="S15" s="23">
        <v>49</v>
      </c>
      <c r="T15" s="23">
        <v>179</v>
      </c>
      <c r="U15" s="23">
        <v>27</v>
      </c>
      <c r="V15" s="23">
        <v>26</v>
      </c>
    </row>
    <row r="17" spans="2:22">
      <c r="B17" s="5" t="s">
        <v>53</v>
      </c>
      <c r="C17" s="6"/>
    </row>
    <row r="18" spans="2:22">
      <c r="B18" s="4" t="s">
        <v>1</v>
      </c>
      <c r="C18" s="1" t="s">
        <v>8</v>
      </c>
      <c r="D18" s="1" t="s">
        <v>9</v>
      </c>
      <c r="E18" s="1" t="s">
        <v>46</v>
      </c>
      <c r="F18" s="1" t="s">
        <v>11</v>
      </c>
      <c r="G18" s="1" t="s">
        <v>12</v>
      </c>
      <c r="H18" s="1" t="s">
        <v>13</v>
      </c>
      <c r="I18" s="1" t="s">
        <v>14</v>
      </c>
      <c r="J18" s="1" t="s">
        <v>15</v>
      </c>
      <c r="K18" s="1" t="s">
        <v>16</v>
      </c>
      <c r="L18" s="1" t="s">
        <v>47</v>
      </c>
      <c r="M18" s="1" t="s">
        <v>18</v>
      </c>
      <c r="N18" s="1" t="s">
        <v>19</v>
      </c>
      <c r="O18" s="1" t="s">
        <v>6</v>
      </c>
      <c r="P18" s="1" t="s">
        <v>7</v>
      </c>
      <c r="Q18" s="1" t="s">
        <v>48</v>
      </c>
      <c r="R18" s="1" t="s">
        <v>24</v>
      </c>
      <c r="S18" s="1" t="s">
        <v>49</v>
      </c>
      <c r="T18" s="1" t="s">
        <v>50</v>
      </c>
      <c r="U18" s="1" t="s">
        <v>51</v>
      </c>
      <c r="V18" s="1" t="s">
        <v>52</v>
      </c>
    </row>
    <row r="19" spans="2:22">
      <c r="B19" s="25" t="s">
        <v>27</v>
      </c>
      <c r="C19" s="24">
        <v>470</v>
      </c>
      <c r="D19" s="24">
        <v>318</v>
      </c>
      <c r="E19" s="24">
        <v>428</v>
      </c>
      <c r="F19" s="24">
        <v>412</v>
      </c>
      <c r="G19" s="24">
        <v>342</v>
      </c>
      <c r="H19" s="24">
        <v>335</v>
      </c>
      <c r="I19" s="24">
        <v>436</v>
      </c>
      <c r="J19" s="24">
        <v>336</v>
      </c>
      <c r="K19" s="23">
        <v>350</v>
      </c>
      <c r="L19" s="23">
        <v>398</v>
      </c>
      <c r="M19" s="23">
        <v>298</v>
      </c>
      <c r="N19" s="23">
        <v>408</v>
      </c>
      <c r="O19" s="23">
        <v>282</v>
      </c>
      <c r="P19" s="23">
        <v>183</v>
      </c>
      <c r="Q19" s="23">
        <v>185</v>
      </c>
      <c r="R19" s="23">
        <v>12</v>
      </c>
      <c r="S19" s="23">
        <v>48</v>
      </c>
      <c r="T19" s="23">
        <v>339</v>
      </c>
      <c r="U19" s="23">
        <v>34</v>
      </c>
      <c r="V19" s="23">
        <v>26</v>
      </c>
    </row>
    <row r="20" spans="2:22">
      <c r="B20" s="25" t="s">
        <v>28</v>
      </c>
      <c r="C20" s="24">
        <v>386</v>
      </c>
      <c r="D20" s="24">
        <v>224</v>
      </c>
      <c r="E20" s="24">
        <v>240</v>
      </c>
      <c r="F20" s="24">
        <v>268</v>
      </c>
      <c r="G20" s="24">
        <v>226</v>
      </c>
      <c r="H20" s="24">
        <v>220</v>
      </c>
      <c r="I20" s="24">
        <v>214</v>
      </c>
      <c r="J20" s="24">
        <v>227</v>
      </c>
      <c r="K20" s="23">
        <v>246</v>
      </c>
      <c r="L20" s="23">
        <v>270</v>
      </c>
      <c r="M20" s="23">
        <v>237</v>
      </c>
      <c r="N20" s="23">
        <v>280</v>
      </c>
      <c r="O20" s="23">
        <v>238</v>
      </c>
      <c r="P20" s="23">
        <v>90</v>
      </c>
      <c r="Q20" s="23">
        <v>363</v>
      </c>
      <c r="R20" s="23">
        <v>36</v>
      </c>
      <c r="S20" s="23">
        <v>36</v>
      </c>
      <c r="T20" s="23">
        <v>185</v>
      </c>
      <c r="U20" s="23">
        <v>13</v>
      </c>
      <c r="V20" s="23">
        <v>21</v>
      </c>
    </row>
    <row r="21" spans="2:22">
      <c r="B21" s="25" t="s">
        <v>29</v>
      </c>
      <c r="C21" s="24">
        <v>390</v>
      </c>
      <c r="D21" s="24">
        <v>230</v>
      </c>
      <c r="E21" s="24">
        <v>244</v>
      </c>
      <c r="F21" s="24">
        <v>278</v>
      </c>
      <c r="G21" s="24">
        <v>232</v>
      </c>
      <c r="H21" s="24">
        <v>230</v>
      </c>
      <c r="I21" s="24">
        <v>220</v>
      </c>
      <c r="J21" s="24">
        <v>230</v>
      </c>
      <c r="K21" s="23">
        <v>248</v>
      </c>
      <c r="L21" s="23">
        <v>274</v>
      </c>
      <c r="M21" s="23">
        <v>248</v>
      </c>
      <c r="N21" s="23">
        <v>286</v>
      </c>
      <c r="O21" s="23">
        <v>292</v>
      </c>
      <c r="P21" s="23">
        <v>116</v>
      </c>
      <c r="Q21" s="23">
        <v>153</v>
      </c>
      <c r="R21" s="23">
        <v>14</v>
      </c>
      <c r="S21" s="23">
        <v>40</v>
      </c>
      <c r="T21" s="23">
        <v>344</v>
      </c>
      <c r="U21" s="23">
        <v>16</v>
      </c>
      <c r="V21" s="23">
        <v>30</v>
      </c>
    </row>
    <row r="22" spans="2:22">
      <c r="B22" s="25" t="s">
        <v>30</v>
      </c>
      <c r="C22" s="24">
        <v>460</v>
      </c>
      <c r="D22" s="24">
        <v>280</v>
      </c>
      <c r="E22" s="24">
        <v>300</v>
      </c>
      <c r="F22" s="24">
        <v>310</v>
      </c>
      <c r="G22" s="24">
        <v>280</v>
      </c>
      <c r="H22" s="24">
        <v>260</v>
      </c>
      <c r="I22" s="24">
        <v>320</v>
      </c>
      <c r="J22" s="24">
        <v>308</v>
      </c>
      <c r="K22" s="23">
        <v>340</v>
      </c>
      <c r="L22" s="23">
        <v>369</v>
      </c>
      <c r="M22" s="23">
        <v>300</v>
      </c>
      <c r="N22" s="23">
        <v>320</v>
      </c>
      <c r="O22" s="23">
        <v>288</v>
      </c>
      <c r="P22" s="23">
        <v>175</v>
      </c>
      <c r="Q22" s="23">
        <v>217</v>
      </c>
      <c r="R22" s="23">
        <v>18</v>
      </c>
      <c r="S22" s="23">
        <v>34</v>
      </c>
      <c r="T22" s="23">
        <v>349</v>
      </c>
      <c r="U22" s="23">
        <v>14</v>
      </c>
      <c r="V22" s="23">
        <v>34</v>
      </c>
    </row>
    <row r="23" spans="2:22">
      <c r="B23" s="25" t="s">
        <v>31</v>
      </c>
      <c r="C23" s="24">
        <v>720</v>
      </c>
      <c r="D23" s="24">
        <v>330</v>
      </c>
      <c r="E23" s="24">
        <v>380</v>
      </c>
      <c r="F23" s="24">
        <v>430</v>
      </c>
      <c r="G23" s="24">
        <v>380</v>
      </c>
      <c r="H23" s="24">
        <v>360</v>
      </c>
      <c r="I23" s="24">
        <v>510</v>
      </c>
      <c r="J23" s="24">
        <v>390</v>
      </c>
      <c r="K23" s="23">
        <v>410</v>
      </c>
      <c r="L23" s="23">
        <v>530</v>
      </c>
      <c r="M23" s="23">
        <v>330</v>
      </c>
      <c r="N23" s="23">
        <v>490</v>
      </c>
      <c r="O23" s="23">
        <v>281</v>
      </c>
      <c r="P23" s="23">
        <v>185</v>
      </c>
      <c r="Q23" s="23">
        <v>236</v>
      </c>
      <c r="R23" s="23">
        <v>24</v>
      </c>
      <c r="S23" s="23">
        <v>24</v>
      </c>
      <c r="T23" s="23">
        <v>268</v>
      </c>
      <c r="U23" s="23">
        <v>63</v>
      </c>
      <c r="V23" s="23">
        <v>44</v>
      </c>
    </row>
    <row r="24" spans="2:22">
      <c r="B24" s="25" t="s">
        <v>32</v>
      </c>
      <c r="C24" s="24"/>
      <c r="D24" s="24"/>
      <c r="E24" s="24"/>
      <c r="F24" s="24"/>
      <c r="G24" s="24"/>
      <c r="H24" s="24"/>
      <c r="I24" s="24"/>
      <c r="J24" s="24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</row>
    <row r="25" spans="2:22">
      <c r="B25" s="25" t="s">
        <v>33</v>
      </c>
      <c r="C25" s="24"/>
      <c r="D25" s="24"/>
      <c r="E25" s="24"/>
      <c r="F25" s="24"/>
      <c r="G25" s="24"/>
      <c r="H25" s="24"/>
      <c r="I25" s="24"/>
      <c r="J25" s="24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</row>
    <row r="26" spans="2:22">
      <c r="B26" s="25" t="s">
        <v>34</v>
      </c>
      <c r="C26" s="24"/>
      <c r="D26" s="24"/>
      <c r="E26" s="24"/>
      <c r="F26" s="24"/>
      <c r="G26" s="24"/>
      <c r="H26" s="24"/>
      <c r="I26" s="24"/>
      <c r="J26" s="24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</row>
    <row r="27" spans="2:22">
      <c r="B27" s="25" t="s">
        <v>35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</row>
    <row r="28" spans="2:22">
      <c r="B28" s="25" t="s">
        <v>36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</row>
    <row r="29" spans="2:22">
      <c r="B29" s="25" t="s">
        <v>37</v>
      </c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</row>
    <row r="30" spans="2:22">
      <c r="B30" s="25" t="s">
        <v>38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79998168889431442"/>
  </sheetPr>
  <dimension ref="B1:F31"/>
  <sheetViews>
    <sheetView zoomScaleNormal="100" workbookViewId="0">
      <pane xSplit="3" ySplit="2" topLeftCell="D3" activePane="bottomRight" state="frozen"/>
      <selection pane="topRight" activeCell="D1" sqref="D1"/>
      <selection pane="bottomLeft" activeCell="A5" sqref="A5"/>
      <selection pane="bottomRight" activeCell="F34" sqref="F34"/>
    </sheetView>
  </sheetViews>
  <sheetFormatPr defaultColWidth="8.53125" defaultRowHeight="14.25"/>
  <cols>
    <col min="1" max="1" width="2" style="1" customWidth="1"/>
    <col min="2" max="2" width="9.46484375" style="7" customWidth="1"/>
    <col min="3" max="3" width="8.53125" style="1" customWidth="1"/>
    <col min="4" max="5" width="30.796875" style="8" customWidth="1"/>
    <col min="6" max="6" width="30.796875" style="1" customWidth="1"/>
    <col min="7" max="7" width="8.53125" style="1" customWidth="1"/>
    <col min="8" max="16384" width="8.53125" style="1"/>
  </cols>
  <sheetData>
    <row r="1" spans="2:6" ht="31.05" customHeight="1">
      <c r="C1" s="1" t="s">
        <v>54</v>
      </c>
      <c r="D1" s="19"/>
      <c r="E1" s="19"/>
      <c r="F1" s="9"/>
    </row>
    <row r="2" spans="2:6">
      <c r="C2" s="10" t="s">
        <v>1</v>
      </c>
      <c r="D2" s="20" t="s">
        <v>55</v>
      </c>
      <c r="E2" s="22" t="s">
        <v>56</v>
      </c>
      <c r="F2" s="15" t="s">
        <v>57</v>
      </c>
    </row>
    <row r="3" spans="2:6">
      <c r="B3" s="14">
        <v>2024</v>
      </c>
      <c r="C3" s="12">
        <v>45292</v>
      </c>
      <c r="D3" s="8" t="s">
        <v>58</v>
      </c>
      <c r="E3" s="8">
        <v>2332.839999999997</v>
      </c>
      <c r="F3" s="13">
        <f>Table2628[[#This Row],[Urban Renewables]]+Table2628[[#This Row],[Green House (KWh)]]</f>
        <v>82817.22</v>
      </c>
    </row>
    <row r="4" spans="2:6">
      <c r="C4" s="12">
        <v>45323</v>
      </c>
      <c r="D4" s="8" t="s">
        <v>59</v>
      </c>
      <c r="E4" s="8">
        <v>2691.760000000002</v>
      </c>
      <c r="F4" s="13">
        <f>Table2628[[#This Row],[Urban Renewables]]+Table2628[[#This Row],[Green House (KWh)]]</f>
        <v>95920.72</v>
      </c>
    </row>
    <row r="5" spans="2:6">
      <c r="C5" s="12">
        <v>45352</v>
      </c>
      <c r="D5" s="8" t="s">
        <v>60</v>
      </c>
      <c r="E5" s="8">
        <v>2992.6999999999971</v>
      </c>
      <c r="F5" s="13">
        <f>Table2628[[#This Row],[Urban Renewables]]+Table2628[[#This Row],[Green House (KWh)]]</f>
        <v>107262.86</v>
      </c>
    </row>
    <row r="6" spans="2:6">
      <c r="C6" s="12">
        <v>45383</v>
      </c>
      <c r="D6" s="8" t="s">
        <v>61</v>
      </c>
      <c r="E6" s="8">
        <v>2585.8300000000022</v>
      </c>
      <c r="F6" s="13">
        <f>Table2628[[#This Row],[Urban Renewables]]+Table2628[[#This Row],[Green House (KWh)]]</f>
        <v>86587.680000000008</v>
      </c>
    </row>
    <row r="7" spans="2:6">
      <c r="C7" s="12">
        <v>45413</v>
      </c>
      <c r="D7" s="8" t="s">
        <v>62</v>
      </c>
      <c r="E7" s="8">
        <v>2204.160000000003</v>
      </c>
      <c r="F7" s="13">
        <f>Table2628[[#This Row],[Urban Renewables]]+Table2628[[#This Row],[Green House (KWh)]]</f>
        <v>74229.16</v>
      </c>
    </row>
    <row r="8" spans="2:6">
      <c r="C8" s="12">
        <v>45444</v>
      </c>
      <c r="D8" s="8" t="s">
        <v>63</v>
      </c>
      <c r="E8" s="8">
        <v>2282.589999999997</v>
      </c>
      <c r="F8" s="13">
        <f>Table2628[[#This Row],[Urban Renewables]]+Table2628[[#This Row],[Green House (KWh)]]</f>
        <v>77532.78</v>
      </c>
    </row>
    <row r="9" spans="2:6">
      <c r="C9" s="12">
        <v>45474</v>
      </c>
      <c r="D9" s="8" t="s">
        <v>64</v>
      </c>
      <c r="E9" s="8">
        <v>2925.170000000006</v>
      </c>
      <c r="F9" s="13">
        <f>Table2628[[#This Row],[Urban Renewables]]+Table2628[[#This Row],[Green House (KWh)]]</f>
        <v>101653.88000000002</v>
      </c>
    </row>
    <row r="10" spans="2:6">
      <c r="C10" s="12">
        <v>45505</v>
      </c>
      <c r="D10" s="8" t="s">
        <v>65</v>
      </c>
      <c r="E10" s="8">
        <v>2910.4899999999911</v>
      </c>
      <c r="F10" s="13">
        <f>Table2628[[#This Row],[Urban Renewables]]+Table2628[[#This Row],[Green House (KWh)]]</f>
        <v>98329.209999999992</v>
      </c>
    </row>
    <row r="11" spans="2:6">
      <c r="C11" s="12">
        <v>45536</v>
      </c>
      <c r="D11" s="8" t="s">
        <v>66</v>
      </c>
      <c r="E11" s="8">
        <v>2632.7700000000041</v>
      </c>
      <c r="F11" s="13">
        <f>Table2628[[#This Row],[Urban Renewables]]+Table2628[[#This Row],[Green House (KWh)]]</f>
        <v>100187.19</v>
      </c>
    </row>
    <row r="12" spans="2:6">
      <c r="C12" s="12">
        <v>45566</v>
      </c>
      <c r="D12" s="8" t="s">
        <v>67</v>
      </c>
      <c r="E12" s="8">
        <v>389.36999999999529</v>
      </c>
      <c r="F12" s="13">
        <f>Table2628[[#This Row],[Urban Renewables]]+Table2628[[#This Row],[Green House (KWh)]]</f>
        <v>89443.819999999992</v>
      </c>
    </row>
    <row r="13" spans="2:6">
      <c r="C13" s="12">
        <v>45597</v>
      </c>
      <c r="D13" s="8" t="s">
        <v>68</v>
      </c>
      <c r="E13" s="8">
        <v>2310.5299999999988</v>
      </c>
      <c r="F13" s="13">
        <f>Table2628[[#This Row],[Urban Renewables]]+Table2628[[#This Row],[Green House (KWh)]]</f>
        <v>73743.75</v>
      </c>
    </row>
    <row r="14" spans="2:6">
      <c r="C14" s="12">
        <v>45627</v>
      </c>
      <c r="D14" s="8">
        <v>83470.7</v>
      </c>
      <c r="E14" s="8">
        <v>2588.0500000000029</v>
      </c>
      <c r="F14" s="13">
        <f>Table2628[[#This Row],[Urban Renewables]]+Table2628[[#This Row],[Green House (KWh)]]</f>
        <v>86058.75</v>
      </c>
    </row>
    <row r="15" spans="2:6">
      <c r="B15" s="14">
        <v>2025</v>
      </c>
      <c r="C15" s="12">
        <v>45658</v>
      </c>
      <c r="D15" s="8">
        <v>64929.97</v>
      </c>
      <c r="E15" s="8">
        <v>2009.1200000000099</v>
      </c>
      <c r="F15" s="13">
        <f>Table2628[[#This Row],[Urban Renewables]]+Table2628[[#This Row],[Green House (KWh)]]</f>
        <v>66939.090000000011</v>
      </c>
    </row>
    <row r="16" spans="2:6">
      <c r="C16" s="12">
        <v>45689</v>
      </c>
      <c r="D16" s="8">
        <v>91599.06</v>
      </c>
      <c r="E16" s="8">
        <v>2432.8999999999942</v>
      </c>
      <c r="F16" s="13">
        <f>Table2628[[#This Row],[Urban Renewables]]+Table2628[[#This Row],[Green House (KWh)]]</f>
        <v>94031.959999999992</v>
      </c>
    </row>
    <row r="17" spans="2:6" ht="15" customHeight="1" thickBot="1">
      <c r="C17" s="12">
        <v>45717</v>
      </c>
      <c r="D17" s="21">
        <v>87040.8</v>
      </c>
      <c r="E17" s="21">
        <v>1431.3699999999949</v>
      </c>
      <c r="F17" s="13">
        <f>Table2628[[#This Row],[Urban Renewables]]+Table2628[[#This Row],[Green House (KWh)]]</f>
        <v>88472.17</v>
      </c>
    </row>
    <row r="18" spans="2:6">
      <c r="C18" s="12">
        <v>45748</v>
      </c>
      <c r="D18" s="8">
        <v>91938.36</v>
      </c>
      <c r="E18" s="8">
        <v>2652.9700000000012</v>
      </c>
      <c r="F18" s="13">
        <f>Table2628[[#This Row],[Urban Renewables]]+Table2628[[#This Row],[Green House (KWh)]]</f>
        <v>94591.33</v>
      </c>
    </row>
    <row r="19" spans="2:6">
      <c r="C19" s="12">
        <v>45778</v>
      </c>
      <c r="D19" s="8">
        <v>93780.37</v>
      </c>
      <c r="E19" s="8">
        <v>2844.5299999999988</v>
      </c>
      <c r="F19" s="13">
        <f>Table2628[[#This Row],[Urban Renewables]]+Table2628[[#This Row],[Green House (KWh)]]</f>
        <v>96624.9</v>
      </c>
    </row>
    <row r="20" spans="2:6">
      <c r="C20" s="12">
        <v>45809</v>
      </c>
      <c r="D20" s="8" t="s">
        <v>69</v>
      </c>
      <c r="E20" s="8">
        <v>1984.070000000007</v>
      </c>
      <c r="F20" s="13">
        <f>Table2628[[#This Row],[Urban Renewables]]+Table2628[[#This Row],[Green House (KWh)]]</f>
        <v>93165.52</v>
      </c>
    </row>
    <row r="21" spans="2:6">
      <c r="C21" s="12">
        <v>45839</v>
      </c>
      <c r="D21" s="8">
        <v>93725.89</v>
      </c>
      <c r="E21" s="8">
        <v>1761.419999999998</v>
      </c>
      <c r="F21" s="13">
        <f>Table2628[[#This Row],[Urban Renewables]]+Table2628[[#This Row],[Green House (KWh)]]</f>
        <v>95487.31</v>
      </c>
    </row>
    <row r="22" spans="2:6">
      <c r="C22" s="12">
        <v>45870</v>
      </c>
      <c r="D22" s="8">
        <v>94442.04</v>
      </c>
      <c r="E22" s="8">
        <v>843</v>
      </c>
      <c r="F22" s="13">
        <f>Table2628[[#This Row],[Urban Renewables]]+Table2628[[#This Row],[Green House (KWh)]]</f>
        <v>95285.04</v>
      </c>
    </row>
    <row r="23" spans="2:6">
      <c r="C23" s="12">
        <v>45901</v>
      </c>
      <c r="D23" s="8">
        <v>78524.06</v>
      </c>
      <c r="E23" s="8">
        <v>1795</v>
      </c>
      <c r="F23" s="13">
        <f>Table2628[[#This Row],[Urban Renewables]]+Table2628[[#This Row],[Green House (KWh)]]</f>
        <v>80319.06</v>
      </c>
    </row>
    <row r="24" spans="2:6">
      <c r="C24" s="12">
        <v>45931</v>
      </c>
      <c r="D24" s="8">
        <v>89902.65</v>
      </c>
      <c r="E24" s="8">
        <v>0</v>
      </c>
      <c r="F24" s="13">
        <f>Table2628[[#This Row],[Urban Renewables]]+Table2628[[#This Row],[Green House (KWh)]]</f>
        <v>89902.65</v>
      </c>
    </row>
    <row r="25" spans="2:6">
      <c r="C25" s="12">
        <v>45962</v>
      </c>
      <c r="D25" s="8">
        <v>90447.53</v>
      </c>
      <c r="E25" s="8">
        <v>0</v>
      </c>
      <c r="F25" s="13">
        <f>Table2628[[#This Row],[Urban Renewables]]+Table2628[[#This Row],[Green House (KWh)]]</f>
        <v>90447.53</v>
      </c>
    </row>
    <row r="26" spans="2:6">
      <c r="C26" s="12">
        <v>45992</v>
      </c>
      <c r="D26" s="8">
        <v>80243.429999999993</v>
      </c>
      <c r="E26" s="8">
        <v>0</v>
      </c>
      <c r="F26" s="13">
        <f>Table2628[[#This Row],[Urban Renewables]]+Table2628[[#This Row],[Green House (KWh)]]</f>
        <v>80243.429999999993</v>
      </c>
    </row>
    <row r="27" spans="2:6">
      <c r="B27" s="14">
        <v>2026</v>
      </c>
      <c r="C27" s="12">
        <v>46023</v>
      </c>
      <c r="D27" s="8">
        <v>88918</v>
      </c>
      <c r="E27" s="8">
        <v>0</v>
      </c>
      <c r="F27" s="13">
        <f>Table2628[[#This Row],[Urban Renewables]]+Table2628[[#This Row],[Green House (KWh)]]</f>
        <v>88918</v>
      </c>
    </row>
    <row r="28" spans="2:6">
      <c r="C28" s="12">
        <v>46054</v>
      </c>
      <c r="D28" s="8">
        <v>81304.78</v>
      </c>
      <c r="E28" s="8">
        <v>0</v>
      </c>
      <c r="F28" s="13">
        <f>Table2628[[#This Row],[Urban Renewables]]+Table2628[[#This Row],[Green House (KWh)]]</f>
        <v>81304.78</v>
      </c>
    </row>
    <row r="29" spans="2:6">
      <c r="C29" s="12">
        <v>46082</v>
      </c>
      <c r="D29" s="8">
        <v>108512.67</v>
      </c>
      <c r="E29" s="8">
        <v>0</v>
      </c>
      <c r="F29" s="13">
        <f>Table2628[[#This Row],[Urban Renewables]]+Table2628[[#This Row],[Green House (KWh)]]</f>
        <v>108512.67</v>
      </c>
    </row>
    <row r="30" spans="2:6">
      <c r="C30" s="12">
        <v>46113</v>
      </c>
      <c r="D30" s="8">
        <v>91618.880000000005</v>
      </c>
      <c r="E30" s="8">
        <v>1506.96000000001</v>
      </c>
      <c r="F30" s="13">
        <f>Table2628[[#This Row],[Urban Renewables]]+Table2628[[#This Row],[Green House (KWh)]]</f>
        <v>93125.840000000011</v>
      </c>
    </row>
    <row r="31" spans="2:6">
      <c r="C31" s="12">
        <v>46143</v>
      </c>
      <c r="D31" s="8">
        <v>82365.7</v>
      </c>
      <c r="E31" s="8">
        <v>85.330000000001704</v>
      </c>
      <c r="F31" s="13">
        <f>Table2628[[#This Row],[Urban Renewables]]+Table2628[[#This Row],[Green House (KWh)]]</f>
        <v>82451.03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4"/>
  <sheetViews>
    <sheetView workbookViewId="0">
      <selection activeCell="J26" sqref="J26"/>
    </sheetView>
  </sheetViews>
  <sheetFormatPr defaultRowHeight="14.25"/>
  <cols>
    <col min="1" max="1" width="35.59765625" bestFit="1" customWidth="1"/>
  </cols>
  <sheetData>
    <row r="1" spans="1:11" ht="21" customHeight="1">
      <c r="A1" s="26" t="s">
        <v>70</v>
      </c>
      <c r="B1" s="27"/>
      <c r="C1" s="27"/>
      <c r="D1" s="27"/>
      <c r="E1" s="27"/>
    </row>
    <row r="2" spans="1:11" ht="43.5" customHeight="1">
      <c r="A2" s="28" t="s">
        <v>71</v>
      </c>
      <c r="B2" s="29" t="s">
        <v>72</v>
      </c>
      <c r="C2" s="29" t="s">
        <v>73</v>
      </c>
      <c r="D2" s="29" t="s">
        <v>74</v>
      </c>
      <c r="E2" s="29" t="s">
        <v>75</v>
      </c>
    </row>
    <row r="3" spans="1:11">
      <c r="A3" s="30" t="s">
        <v>76</v>
      </c>
      <c r="B3" s="31">
        <v>118510</v>
      </c>
      <c r="C3" s="31">
        <v>28499.48</v>
      </c>
      <c r="D3" s="32">
        <v>0.80430428169533652</v>
      </c>
      <c r="E3" s="32">
        <v>0.19569571830466351</v>
      </c>
    </row>
    <row r="4" spans="1:11">
      <c r="A4" s="33">
        <v>45292</v>
      </c>
      <c r="B4" s="31">
        <v>47190</v>
      </c>
      <c r="C4" s="31">
        <v>9890.5</v>
      </c>
      <c r="D4" s="32">
        <v>0.82672716601991925</v>
      </c>
      <c r="E4" s="32">
        <v>0.17327283398008081</v>
      </c>
    </row>
    <row r="5" spans="1:11">
      <c r="A5" s="33">
        <v>45323</v>
      </c>
      <c r="B5" s="31">
        <v>36015</v>
      </c>
      <c r="C5" s="31">
        <v>9501.380000000001</v>
      </c>
      <c r="D5" s="32">
        <v>0.7912536102387755</v>
      </c>
      <c r="E5" s="32">
        <v>0.20874638976122439</v>
      </c>
    </row>
    <row r="6" spans="1:11">
      <c r="A6" s="33">
        <v>45352</v>
      </c>
      <c r="B6" s="31">
        <v>35305</v>
      </c>
      <c r="C6" s="31">
        <v>9107.6</v>
      </c>
      <c r="D6" s="32">
        <v>0.79493206882731482</v>
      </c>
      <c r="E6" s="32">
        <v>0.20506793117268521</v>
      </c>
    </row>
    <row r="7" spans="1:11">
      <c r="A7" s="30" t="s">
        <v>77</v>
      </c>
      <c r="B7" s="31">
        <v>472600</v>
      </c>
      <c r="C7" s="31">
        <v>139582.79999999999</v>
      </c>
      <c r="D7" s="32">
        <v>0.76825574415776465</v>
      </c>
      <c r="E7" s="32">
        <v>0.2317442558422354</v>
      </c>
    </row>
    <row r="8" spans="1:11">
      <c r="A8" s="33">
        <v>45383</v>
      </c>
      <c r="B8" s="31">
        <v>38200</v>
      </c>
      <c r="C8" s="31">
        <v>9735.4599999999991</v>
      </c>
      <c r="D8" s="32">
        <v>0.79690483829716041</v>
      </c>
      <c r="E8" s="32">
        <v>0.20309516170283959</v>
      </c>
      <c r="K8" s="34"/>
    </row>
    <row r="9" spans="1:11">
      <c r="A9" s="33">
        <v>45413</v>
      </c>
      <c r="B9" s="31">
        <v>52800</v>
      </c>
      <c r="C9" s="31">
        <v>10256.549999999999</v>
      </c>
      <c r="D9" s="32">
        <v>0.8373436225102705</v>
      </c>
      <c r="E9" s="32">
        <v>0.16265637748972939</v>
      </c>
    </row>
    <row r="10" spans="1:11">
      <c r="A10" s="33">
        <v>45444</v>
      </c>
      <c r="B10" s="31">
        <v>29530</v>
      </c>
      <c r="C10" s="31">
        <v>17129.62</v>
      </c>
      <c r="D10" s="32">
        <v>0.6328812793588976</v>
      </c>
      <c r="E10" s="32">
        <v>0.36711872064110251</v>
      </c>
    </row>
    <row r="11" spans="1:11">
      <c r="A11" s="33">
        <v>45474</v>
      </c>
      <c r="B11" s="31">
        <v>50770</v>
      </c>
      <c r="C11" s="31">
        <v>14672.88</v>
      </c>
      <c r="D11" s="32">
        <v>0.77579104098108154</v>
      </c>
      <c r="E11" s="32">
        <v>0.22420895901891849</v>
      </c>
    </row>
    <row r="12" spans="1:11" s="35" customFormat="1">
      <c r="A12" s="33">
        <v>45505</v>
      </c>
      <c r="B12" s="31">
        <v>40895</v>
      </c>
      <c r="C12" s="31">
        <v>9603.2900000000009</v>
      </c>
      <c r="D12" s="32">
        <v>0.80982940214411214</v>
      </c>
      <c r="E12" s="32">
        <v>0.1901705978558878</v>
      </c>
    </row>
    <row r="13" spans="1:11">
      <c r="A13" s="33">
        <v>45536</v>
      </c>
      <c r="B13" s="31">
        <v>31730</v>
      </c>
      <c r="C13" s="31">
        <v>20662.419999999998</v>
      </c>
      <c r="D13" s="32">
        <v>0.60562195829091314</v>
      </c>
      <c r="E13" s="32">
        <v>0.39437804170908691</v>
      </c>
    </row>
    <row r="14" spans="1:11">
      <c r="A14" s="33">
        <v>45566</v>
      </c>
      <c r="B14" s="31">
        <v>42790</v>
      </c>
      <c r="C14" s="31">
        <v>8205.25</v>
      </c>
      <c r="D14" s="32">
        <v>0.83909775910501472</v>
      </c>
      <c r="E14" s="32">
        <v>0.16090224089498531</v>
      </c>
    </row>
    <row r="15" spans="1:11">
      <c r="A15" s="33">
        <v>45597</v>
      </c>
      <c r="B15" s="31">
        <v>54130</v>
      </c>
      <c r="C15" s="31">
        <v>10373.56</v>
      </c>
      <c r="D15" s="32">
        <v>0.83917848875317891</v>
      </c>
      <c r="E15" s="32">
        <v>0.16082151124682109</v>
      </c>
    </row>
    <row r="16" spans="1:11">
      <c r="A16" s="33">
        <v>45627</v>
      </c>
      <c r="B16" s="31">
        <v>31205</v>
      </c>
      <c r="C16" s="31">
        <v>12202.02</v>
      </c>
      <c r="D16" s="32">
        <v>0.71889293482943539</v>
      </c>
      <c r="E16" s="32">
        <v>0.28110706517056461</v>
      </c>
    </row>
    <row r="17" spans="1:5">
      <c r="A17" s="33">
        <v>45658</v>
      </c>
      <c r="B17" s="31">
        <v>40290</v>
      </c>
      <c r="C17" s="31">
        <v>10244.34</v>
      </c>
      <c r="D17" s="32">
        <v>0.79727963202843855</v>
      </c>
      <c r="E17" s="32">
        <v>0.20272036797156151</v>
      </c>
    </row>
    <row r="18" spans="1:5">
      <c r="A18" s="33">
        <v>45689</v>
      </c>
      <c r="B18" s="31">
        <v>33220</v>
      </c>
      <c r="C18" s="31">
        <v>7611.79</v>
      </c>
      <c r="D18" s="32">
        <v>0.81358177047834546</v>
      </c>
      <c r="E18" s="32">
        <v>0.1864182295216546</v>
      </c>
    </row>
    <row r="19" spans="1:5">
      <c r="A19" s="33">
        <v>45717</v>
      </c>
      <c r="B19" s="31">
        <v>27040</v>
      </c>
      <c r="C19" s="31">
        <v>8885.619999999999</v>
      </c>
      <c r="D19" s="32">
        <v>0.7526662031163277</v>
      </c>
      <c r="E19" s="32">
        <v>0.24733379688367241</v>
      </c>
    </row>
    <row r="20" spans="1:5">
      <c r="A20" s="30" t="s">
        <v>78</v>
      </c>
      <c r="B20" s="31">
        <v>160108</v>
      </c>
      <c r="C20" s="31">
        <v>44915.86</v>
      </c>
      <c r="D20" s="32">
        <v>0.78207079328890705</v>
      </c>
      <c r="E20" s="32">
        <v>0.217929206711093</v>
      </c>
    </row>
    <row r="21" spans="1:5">
      <c r="A21" s="33">
        <v>45748</v>
      </c>
      <c r="B21" s="31">
        <v>38340</v>
      </c>
      <c r="C21" s="31">
        <v>6736.3</v>
      </c>
      <c r="D21" s="32">
        <v>0.85055783194272816</v>
      </c>
      <c r="E21" s="32">
        <v>0.14944216805727181</v>
      </c>
    </row>
    <row r="22" spans="1:5">
      <c r="A22" s="33">
        <v>45778</v>
      </c>
      <c r="B22" s="31">
        <v>47238</v>
      </c>
      <c r="C22" s="31">
        <v>8590.2999999999993</v>
      </c>
      <c r="D22" s="32">
        <v>0.84613000933218452</v>
      </c>
      <c r="E22" s="32">
        <v>0.1538699906678154</v>
      </c>
    </row>
    <row r="23" spans="1:5">
      <c r="A23" s="33">
        <v>45809</v>
      </c>
      <c r="B23" s="31">
        <v>30255</v>
      </c>
      <c r="C23" s="31">
        <v>21798.400000000001</v>
      </c>
      <c r="D23" s="32">
        <v>0.58123004453119298</v>
      </c>
      <c r="E23" s="32">
        <v>0.41876995546880708</v>
      </c>
    </row>
    <row r="24" spans="1:5">
      <c r="A24" s="33">
        <v>45839</v>
      </c>
      <c r="B24" s="31">
        <v>44275</v>
      </c>
      <c r="C24" s="31">
        <v>7790.8600000000006</v>
      </c>
      <c r="D24" s="32">
        <v>0.85036528734952233</v>
      </c>
      <c r="E24" s="32">
        <v>0.1496347126504777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1_Elec Bill</vt:lpstr>
      <vt:lpstr>1.1_Individual Pod</vt:lpstr>
      <vt:lpstr>2_Water Bill</vt:lpstr>
      <vt:lpstr>2.1_Individual Pod</vt:lpstr>
      <vt:lpstr>3_Solar Data</vt:lpstr>
      <vt:lpstr>4_Waste and Recycled (Pivot)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 Manjing (RP)</dc:creator>
  <cp:lastModifiedBy>HAO ZHE</cp:lastModifiedBy>
  <dcterms:created xsi:type="dcterms:W3CDTF">2015-06-05T18:17:20Z</dcterms:created>
  <dcterms:modified xsi:type="dcterms:W3CDTF">2026-06-29T05:43:05Z</dcterms:modified>
</cp:coreProperties>
</file>