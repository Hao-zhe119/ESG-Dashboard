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oyas\Downloads\"/>
    </mc:Choice>
  </mc:AlternateContent>
  <xr:revisionPtr revIDLastSave="0" documentId="13_ncr:1_{A34FC426-5B6B-4A3F-A62A-5065E17636D2}" xr6:coauthVersionLast="47" xr6:coauthVersionMax="47" xr10:uidLastSave="{00000000-0000-0000-0000-000000000000}"/>
  <bookViews>
    <workbookView xWindow="14295" yWindow="0" windowWidth="14610" windowHeight="15585" activeTab="4" xr2:uid="{00000000-000D-0000-FFFF-FFFF00000000}"/>
  </bookViews>
  <sheets>
    <sheet name="1_Elec Bill" sheetId="4" r:id="rId1"/>
    <sheet name="1.1_Individual Pod" sheetId="2" r:id="rId2"/>
    <sheet name="2_Water Bill" sheetId="5" r:id="rId3"/>
    <sheet name="2.1_Individual Pod" sheetId="6" r:id="rId4"/>
    <sheet name="3_Solar Data" sheetId="7" r:id="rId5"/>
    <sheet name="4_Waste and Recycled (Pivot)" sheetId="8" r:id="rId6"/>
  </sheets>
  <externalReferences>
    <externalReference r:id="rId7"/>
  </externalReferences>
  <definedNames>
    <definedName name="Table4">'[1]Pivot %'!#REF!</definedName>
  </definedNames>
  <calcPr calcId="191028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7" l="1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3" i="7"/>
  <c r="F4" i="5" l="1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tc={B73FCAE9-E8C5-4F28-AE1F-4CE8BA4A016D}</author>
  </authors>
  <commentList>
    <comment ref="D2" authorId="0" shapeId="0" xr:uid="{B73FCAE9-E8C5-4F28-AE1F-4CE8BA4A016D}">
      <text>
        <t>[Threaded comment]
Your version of Excel allows you to read this threaded comment; however, any edits to it will get removed if the file is opened in a newer version of Excel. Learn more: https://go.microsoft.com/fwlink/?linkid=870924
Comment:
    RP uses this metered consumption based on SP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tc={C2882657-2B7F-4CEE-B423-D837E6A37E5E}</author>
  </authors>
  <commentList>
    <comment ref="D2" authorId="0" shapeId="0" xr:uid="{C2882657-2B7F-4CEE-B423-D837E6A37E5E}">
      <text>
        <t>[Threaded comment]
Your version of Excel allows you to read this threaded comment; however, any edits to it will get removed if the file is opened in a newer version of Excel. Learn more: https://go.microsoft.com/fwlink/?linkid=870924
Comment:
    RP uses this metered consumption based on SP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tc={1BEF121E-0F34-4CC6-B8C5-483CECFC85C1}</author>
  </authors>
  <commentList>
    <comment ref="D2" authorId="0" shapeId="0" xr:uid="{1BEF121E-0F34-4CC6-B8C5-483CECFC85C1}">
      <text>
        <t>[Threaded comment]
Your version of Excel allows you to read this threaded comment; however, any edits to it will get removed if the file is opened in a newer version of Excel. Learn more: https://go.microsoft.com/fwlink/?linkid=870924
Comment:
    RP uses this metered consumption based on SP</t>
      </text>
    </comment>
  </commentList>
</comments>
</file>

<file path=xl/sharedStrings.xml><?xml version="1.0" encoding="utf-8"?>
<sst xmlns="http://schemas.openxmlformats.org/spreadsheetml/2006/main" count="116" uniqueCount="65">
  <si>
    <t>Elect</t>
  </si>
  <si>
    <t>Month</t>
  </si>
  <si>
    <t>kWh (SP Metered)</t>
  </si>
  <si>
    <t>CY2024 Elect</t>
  </si>
  <si>
    <t>BUILDING NAME</t>
  </si>
  <si>
    <t xml:space="preserve">ECMC </t>
  </si>
  <si>
    <t>RPC</t>
  </si>
  <si>
    <t>TRCC</t>
  </si>
  <si>
    <t>E1</t>
  </si>
  <si>
    <t>E2</t>
  </si>
  <si>
    <t>E3 (incl Agora Library)</t>
  </si>
  <si>
    <t>E4</t>
  </si>
  <si>
    <t>E5</t>
  </si>
  <si>
    <t>E6</t>
  </si>
  <si>
    <t>W1</t>
  </si>
  <si>
    <t>W2</t>
  </si>
  <si>
    <t>W3</t>
  </si>
  <si>
    <t>W4, Agora Hall</t>
  </si>
  <si>
    <t>W5</t>
  </si>
  <si>
    <t>W6</t>
  </si>
  <si>
    <t xml:space="preserve">Sports Complex </t>
  </si>
  <si>
    <t>The Arch (1&amp;2)</t>
  </si>
  <si>
    <t>Green House</t>
  </si>
  <si>
    <t>Blk 43</t>
  </si>
  <si>
    <t>RPIC</t>
  </si>
  <si>
    <t>XLC</t>
  </si>
  <si>
    <t>ALC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</si>
  <si>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</si>
  <si>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</si>
  <si>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</si>
  <si>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</si>
  <si>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</si>
  <si>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</si>
  <si>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</si>
  <si>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</si>
  <si>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</si>
  <si>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</si>
  <si>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</si>
  <si>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</si>
  <si>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CY2025 Elect</t>
  </si>
  <si>
    <t>Water</t>
  </si>
  <si>
    <t>Cu3 (Portable Water)</t>
  </si>
  <si>
    <t>Cu3 (NEWater)</t>
  </si>
  <si>
    <t>Cu3 (Total)</t>
  </si>
  <si>
    <t>CY2025 Water</t>
  </si>
  <si>
    <t>E3</t>
  </si>
  <si>
    <t>W4</t>
  </si>
  <si>
    <t>SIT</t>
  </si>
  <si>
    <t>ECMC</t>
  </si>
  <si>
    <t>SPORT HALL</t>
  </si>
  <si>
    <t>GREEN HOUSE</t>
  </si>
  <si>
    <t>The ARCH</t>
  </si>
  <si>
    <t>Solar</t>
  </si>
  <si>
    <t>Urban Renewables</t>
  </si>
  <si>
    <t>Green House (KWh)</t>
  </si>
  <si>
    <t>Total Solar Energy</t>
  </si>
  <si>
    <t>General &amp; Recyclable Waste</t>
  </si>
  <si>
    <t>FY</t>
  </si>
  <si>
    <t xml:space="preserve"> General Waste (kg)</t>
  </si>
  <si>
    <t xml:space="preserve"> Recycled Waste (kg)</t>
  </si>
  <si>
    <t xml:space="preserve"> % (General Waste)</t>
  </si>
  <si>
    <t xml:space="preserve"> % (Recycled Waste)</t>
  </si>
  <si>
    <t>FY2023</t>
  </si>
  <si>
    <t>FY2024</t>
  </si>
  <si>
    <t>FY2025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</si>
</sst>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* #,##0.00_-;\-&quot;$&quot;* #,##0.00_-;_-&quot;$&quot;* &quot;-&quot;??_-;_-@_-"/>
    <numFmt numFmtId="43" formatCode="_-* #,##0.00_-;\-* #,##0.00_-;_-* &quot;-&quot;??_-;_-@_-"/>
    <numFmt numFmtId="164" formatCode="#,##0.0"/>
    <numFmt numFmtId="165" formatCode="_-* #,##0_-;\-* #,##0_-;_-* &quot;-&quot;??_-;_-@_-"/>
    <numFmt numFmtId="166" formatCode="mmm\-yyyy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F3F3F"/>
      <name val="Arial"/>
      <family val="2"/>
    </font>
    <font>
      <sz val="8"/>
      <name val="Calibri"/>
      <family val="2"/>
      <scheme val="minor"/>
    </font>
    <font>
      <b/>
      <sz val="11"/>
      <color rgb="FFC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name val="Arial"/>
      <family val="2"/>
    </font>
    <font>
      <sz val="12"/>
      <name val="宋体"/>
      <charset val="134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/>
      <bottom style="medium">
        <color rgb="FFFFFF00"/>
      </bottom>
      <diagonal/>
    </border>
  </borders>
  <cellStyleXfs count="12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3" fillId="2" borderId="1" applyNumberFormat="0" applyAlignment="0" applyProtection="0"/>
    <xf numFmtId="0" fontId="8" fillId="0" borderId="0"/>
    <xf numFmtId="0" fontId="1" fillId="0" borderId="0"/>
    <xf numFmtId="0" fontId="10" fillId="0" borderId="0">
      <alignment vertical="center"/>
    </xf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1" fillId="0" borderId="0" applyFont="0" applyFill="0" applyBorder="0" applyAlignment="0" applyProtection="0"/>
    <xf numFmtId="0" fontId="9" fillId="0" borderId="0"/>
    <xf numFmtId="44" fontId="9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1" fillId="0" borderId="0" applyFont="0" applyFill="0" applyBorder="0" applyAlignment="0" applyProtection="0"/>
    <xf numFmtId="44" fontId="9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1" fillId="0" borderId="0" applyFont="0" applyFill="0" applyBorder="0" applyAlignment="0" applyProtection="0"/>
    <xf numFmtId="44" fontId="9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1" fillId="0" borderId="0" applyFont="0" applyFill="0" applyBorder="0" applyAlignment="0" applyProtection="0"/>
    <xf numFmtId="44" fontId="9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1" fillId="0" borderId="0" applyFont="0" applyFill="0" applyBorder="0" applyAlignment="0" applyProtection="0"/>
    <xf numFmtId="44" fontId="9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1" fillId="0" borderId="0" applyFont="0" applyFill="0" applyBorder="0" applyAlignment="0" applyProtection="0"/>
    <xf numFmtId="44" fontId="9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8" fillId="0" borderId="0"/>
    <xf numFmtId="0" fontId="12" fillId="0" borderId="0" applyNumberFormat="0" applyFill="0" applyBorder="0" applyAlignment="0" applyProtection="0"/>
    <xf numFmtId="0" fontId="9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43" fontId="0" fillId="0" borderId="0" xfId="1" applyFont="1" applyAlignment="1">
      <alignment horizontal="center" vertical="center"/>
    </xf>
    <xf numFmtId="43" fontId="0" fillId="0" borderId="0" xfId="1" applyFont="1"/>
    <xf numFmtId="0" fontId="0" fillId="0" borderId="0" xfId="0" applyAlignment="1">
      <alignment horizontal="center"/>
    </xf>
    <xf numFmtId="0" fontId="5" fillId="3" borderId="0" xfId="0" applyFont="1" applyFill="1"/>
    <xf numFmtId="0" fontId="0" fillId="3" borderId="0" xfId="0" applyFill="1"/>
    <xf numFmtId="0" fontId="6" fillId="0" borderId="0" xfId="0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7" fontId="2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4" fontId="0" fillId="0" borderId="0" xfId="0" applyNumberFormat="1" applyAlignment="1">
      <alignment horizontal="center" vertical="center" wrapText="1"/>
    </xf>
    <xf numFmtId="4" fontId="2" fillId="0" borderId="3" xfId="0" applyNumberFormat="1" applyFont="1" applyBorder="1" applyAlignment="1">
      <alignment horizontal="center" vertical="center"/>
    </xf>
    <xf numFmtId="4" fontId="0" fillId="0" borderId="6" xfId="0" applyNumberForma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165" fontId="0" fillId="0" borderId="0" xfId="1" applyNumberFormat="1" applyFont="1" applyAlignment="1">
      <alignment horizontal="center"/>
    </xf>
    <xf numFmtId="16" fontId="0" fillId="0" borderId="0" xfId="0" applyNumberFormat="1" applyAlignment="1">
      <alignment horizontal="center"/>
    </xf>
    <xf numFmtId="0" fontId="13" fillId="0" borderId="0" xfId="0" applyFont="1"/>
    <xf numFmtId="0" fontId="0" fillId="0" borderId="0" xfId="0" applyAlignment="1">
      <alignment horizontal="right"/>
    </xf>
    <xf numFmtId="166" fontId="0" fillId="0" borderId="0" xfId="0" applyNumberFormat="1" applyAlignment="1">
      <alignment horizontal="left" vertical="top" wrapText="1"/>
    </xf>
    <xf numFmtId="0" fontId="0" fillId="0" borderId="0" xfId="0" applyAlignment="1">
      <alignment horizontal="right" vertical="top" wrapText="1"/>
    </xf>
    <xf numFmtId="166" fontId="0" fillId="0" borderId="0" xfId="0" applyNumberFormat="1" applyAlignment="1">
      <alignment horizontal="left"/>
    </xf>
    <xf numFmtId="3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166" fontId="0" fillId="0" borderId="0" xfId="0" applyNumberFormat="1" applyAlignment="1">
      <alignment horizontal="left" indent="1"/>
    </xf>
    <xf numFmtId="0" fontId="14" fillId="0" borderId="0" xfId="0" applyFont="1"/>
    <xf numFmtId="0" fontId="0" fillId="0" borderId="0" xfId="0" applyAlignment="1">
      <alignment vertical="top" wrapText="1"/>
    </xf>
  </cellXfs>
  <cellStyles count="124">
    <cellStyle name="Comma" xfId="1" builtinId="3"/>
    <cellStyle name="Comma 2" xfId="20" xr:uid="{00D20124-E0C1-4A06-9475-57D70BE986B0}"/>
    <cellStyle name="Comma 2 2" xfId="23" xr:uid="{892E0131-BFA1-4AE0-BB7E-C1476BBBB533}"/>
    <cellStyle name="Comma 2 2 2" xfId="62" xr:uid="{F1E5E4AC-7EA6-4D65-B292-50F0F6A55257}"/>
    <cellStyle name="Comma 2 2 2 2" xfId="113" xr:uid="{8FF1F005-5072-4548-BC89-E7A0D274A44E}"/>
    <cellStyle name="Comma 2 2 3" xfId="79" xr:uid="{C20DDF2A-E5F4-438F-9178-0179EA64B3A0}"/>
    <cellStyle name="Comma 2 2 4" xfId="45" xr:uid="{0C2921EF-AC62-48F5-8061-1F1395F9A16F}"/>
    <cellStyle name="Comma 2 2 5" xfId="96" xr:uid="{64E93B95-95D2-4EB0-BB68-BDAF662A1042}"/>
    <cellStyle name="Comma 2 3" xfId="60" xr:uid="{EDC388C0-4F3D-41B7-A106-25ADF6A444CF}"/>
    <cellStyle name="Comma 2 3 2" xfId="111" xr:uid="{20832320-4357-41B8-9D61-BC9FAA653879}"/>
    <cellStyle name="Comma 2 4" xfId="77" xr:uid="{30473BEA-B5DC-4811-B44D-A444A942A73F}"/>
    <cellStyle name="Comma 2 5" xfId="43" xr:uid="{CB25D298-C5AC-44F9-8BFF-4E0E0EF58984}"/>
    <cellStyle name="Comma 2 6" xfId="94" xr:uid="{BE715E15-4AFC-440F-9DB6-BAE4FC6821C6}"/>
    <cellStyle name="Comma 2 7" xfId="122" xr:uid="{BE0C41F6-8B94-4935-8D6F-06CDE5EF0B72}"/>
    <cellStyle name="Comma 3" xfId="117" xr:uid="{B140230A-3441-4009-864D-58E6BCA4F7F5}"/>
    <cellStyle name="Comma 4" xfId="123" xr:uid="{22AD1FC6-B8A2-4E28-9CB6-0A0DD6036C08}"/>
    <cellStyle name="Currency 2" xfId="22" xr:uid="{10DC63F2-8DED-4778-98E0-DCAC4E3CC36E}"/>
    <cellStyle name="Currency 2 2" xfId="61" xr:uid="{E70A5AA5-865A-4746-A5C7-50F3360E76AE}"/>
    <cellStyle name="Currency 2 2 2" xfId="112" xr:uid="{0CCA2EFB-3890-47E1-95C7-C2C611F2798F}"/>
    <cellStyle name="Currency 2 3" xfId="78" xr:uid="{234AB442-CAEF-4740-9584-56EAF742A3CF}"/>
    <cellStyle name="Currency 2 4" xfId="44" xr:uid="{148F9DAE-7FB6-4C2E-A60C-4FC36B796435}"/>
    <cellStyle name="Currency 2 5" xfId="95" xr:uid="{7DF536F3-3479-48F5-8E93-47B0754F63A9}"/>
    <cellStyle name="Hyperlink 2" xfId="119" xr:uid="{ED78EEB0-364A-4914-BD55-7E0975642D71}"/>
    <cellStyle name="Normal" xfId="0" builtinId="0"/>
    <cellStyle name="Normal 10" xfId="8" xr:uid="{6997BD6E-14BA-410A-855C-86A0681D4C7E}"/>
    <cellStyle name="Normal 10 2" xfId="48" xr:uid="{34BB313B-2C1E-4D85-B934-A5E20FE85FCE}"/>
    <cellStyle name="Normal 10 2 2" xfId="99" xr:uid="{6BD7EE46-53FE-4AC3-B028-4591B462B6C2}"/>
    <cellStyle name="Normal 10 3" xfId="65" xr:uid="{EB784E56-E045-40F9-89B1-F6C627A8F5A3}"/>
    <cellStyle name="Normal 10 4" xfId="31" xr:uid="{B743B211-433F-40B6-BC06-F6BFC512AC86}"/>
    <cellStyle name="Normal 10 5" xfId="82" xr:uid="{6A9427B7-7C52-484F-99C6-4A41A974B925}"/>
    <cellStyle name="Normal 11" xfId="9" xr:uid="{3D9D758E-5387-4DEC-AECF-AE93AD64918A}"/>
    <cellStyle name="Normal 11 2" xfId="49" xr:uid="{A5CBE722-0AA9-40A7-BDF9-07434B4AF6B7}"/>
    <cellStyle name="Normal 11 2 2" xfId="100" xr:uid="{EE7B115E-75BB-45CF-A729-D3A0EB7D0ACE}"/>
    <cellStyle name="Normal 11 3" xfId="66" xr:uid="{2EB95F2F-9C3A-4D57-8630-89F23F1A98F2}"/>
    <cellStyle name="Normal 11 4" xfId="32" xr:uid="{82B20D7C-1F99-4BCB-A64D-CED3C7FF167A}"/>
    <cellStyle name="Normal 11 5" xfId="83" xr:uid="{E2D16D1F-D51E-41CE-8151-E8E1DFA44FD6}"/>
    <cellStyle name="Normal 12" xfId="10" xr:uid="{C3BFF7F8-51A5-4118-BD2D-8EEE25692458}"/>
    <cellStyle name="Normal 12 2" xfId="50" xr:uid="{1D195099-0D9B-4DA2-9734-6AC3FE2652F2}"/>
    <cellStyle name="Normal 12 2 2" xfId="101" xr:uid="{AD71386D-72DC-434D-9A82-868C12AAC6B0}"/>
    <cellStyle name="Normal 12 3" xfId="67" xr:uid="{34B7E895-51CF-4C02-BC6A-B8A2EB4E5F5E}"/>
    <cellStyle name="Normal 12 4" xfId="33" xr:uid="{5F37AC46-D573-4C5D-A647-DE0BF3A476F2}"/>
    <cellStyle name="Normal 12 5" xfId="84" xr:uid="{F6AF9357-6329-45DA-95CD-A10D072C20A9}"/>
    <cellStyle name="Normal 13" xfId="11" xr:uid="{73790765-C1C1-4B9C-9EA9-15713A4159DB}"/>
    <cellStyle name="Normal 13 2" xfId="51" xr:uid="{7BF3438A-329E-4AD1-8A66-B97EDC3A961A}"/>
    <cellStyle name="Normal 13 2 2" xfId="102" xr:uid="{9C3BBC4E-B661-4620-ACF9-448AC4A8DC03}"/>
    <cellStyle name="Normal 13 3" xfId="68" xr:uid="{C04C6D4E-2CAD-46CF-914A-129EA7506CB4}"/>
    <cellStyle name="Normal 13 4" xfId="34" xr:uid="{D02D78EE-03D0-40A8-BB17-3A2BD543B0B6}"/>
    <cellStyle name="Normal 13 5" xfId="85" xr:uid="{918CF835-3C0B-4895-A7FC-9670E54020F6}"/>
    <cellStyle name="Normal 14" xfId="12" xr:uid="{D54651FB-7D03-4859-9D39-8CCE8A6C35AB}"/>
    <cellStyle name="Normal 14 2" xfId="52" xr:uid="{1200BA49-F1DD-40DF-B0E2-16B46E3C3053}"/>
    <cellStyle name="Normal 14 2 2" xfId="103" xr:uid="{6EC306E0-4C63-483A-9A0B-0E1C6ACB2802}"/>
    <cellStyle name="Normal 14 3" xfId="69" xr:uid="{BCFB0550-2C07-475B-A2A5-55C3CB79B07B}"/>
    <cellStyle name="Normal 14 4" xfId="35" xr:uid="{EB995E57-20EF-4A0C-A7CA-AA982B582BBC}"/>
    <cellStyle name="Normal 14 5" xfId="86" xr:uid="{4B06AC4F-902C-41FC-9EEE-6860FE9484B2}"/>
    <cellStyle name="Normal 15" xfId="5" xr:uid="{D230F705-E9B4-43B8-B1D3-F2C74539A55F}"/>
    <cellStyle name="Normal 15 2" xfId="25" xr:uid="{43D7BF0F-BAFF-4F21-9AA0-0287CE455E9C}"/>
    <cellStyle name="Normal 15 2 2" xfId="63" xr:uid="{881934CD-AE3A-4503-B89F-65FBE8220636}"/>
    <cellStyle name="Normal 15 2 2 2" xfId="114" xr:uid="{B8A67AE0-802C-44A3-A0F1-D9833280A4D9}"/>
    <cellStyle name="Normal 15 2 3" xfId="80" xr:uid="{E0B26CDC-9DC1-4465-BE9F-03DAB17D6BC0}"/>
    <cellStyle name="Normal 15 2 4" xfId="46" xr:uid="{DD2D6B5F-5483-48AA-B02E-3C11CCDB1B14}"/>
    <cellStyle name="Normal 15 2 5" xfId="97" xr:uid="{87CB6BCC-9C9E-45E2-8078-537A5DF3E92B}"/>
    <cellStyle name="Normal 15 3" xfId="21" xr:uid="{91EAA950-40B0-441D-9EE5-003724F10C31}"/>
    <cellStyle name="Normal 15 4" xfId="28" xr:uid="{6A114111-19B6-40ED-9046-9B65238A16E4}"/>
    <cellStyle name="Normal 15 4 2" xfId="47" xr:uid="{ACF95243-04ED-4BF4-8BA0-876D2F1CC7B0}"/>
    <cellStyle name="Normal 15 4 3" xfId="98" xr:uid="{72501C0D-D295-476A-92A0-78960BD3D113}"/>
    <cellStyle name="Normal 15 5" xfId="64" xr:uid="{90281C81-F3FC-4F01-AA78-2F4D803B052A}"/>
    <cellStyle name="Normal 15 6" xfId="30" xr:uid="{F7DCC5CC-CD10-486D-B669-0C4E2BA6543F}"/>
    <cellStyle name="Normal 15 7" xfId="81" xr:uid="{14715105-1E23-471C-B53E-0FEDA1472D04}"/>
    <cellStyle name="Normal 16" xfId="24" xr:uid="{62EB385F-FC32-4887-A483-CD0FA0D70D14}"/>
    <cellStyle name="Normal 17" xfId="6" xr:uid="{FA121280-6C7F-4DE5-8479-559B246B717E}"/>
    <cellStyle name="Normal 18" xfId="26" xr:uid="{DE32AFA9-926C-499E-86FE-6E9F3A0A463F}"/>
    <cellStyle name="Normal 18 2" xfId="29" xr:uid="{55F58B08-52A5-458A-AE0D-DA284BD497BD}"/>
    <cellStyle name="Normal 19" xfId="115" xr:uid="{0A0F0344-740A-4391-9713-2B1DF6DD6B7A}"/>
    <cellStyle name="Normal 2" xfId="2" xr:uid="{2E9AF3E2-CC22-4677-ADFF-A33D19894863}"/>
    <cellStyle name="Normal 2 2" xfId="27" xr:uid="{BFB673D6-1E1B-496C-853F-1A2BCAEDE079}"/>
    <cellStyle name="Normal 2 3" xfId="116" xr:uid="{7EF3FC3A-E369-4E42-AEDA-90B514F282DA}"/>
    <cellStyle name="Normal 2 4" xfId="7" xr:uid="{DABB16C9-452A-4883-AB3D-484AAA8F8AA0}"/>
    <cellStyle name="Normal 20" xfId="4" xr:uid="{8C4D476C-A556-4C3A-BB7C-1A73F22BBCA6}"/>
    <cellStyle name="Normal 3" xfId="13" xr:uid="{84E27EAF-F8F3-4D2F-941F-BCAC9B011802}"/>
    <cellStyle name="Normal 3 2" xfId="53" xr:uid="{1BEF1436-44C0-4913-95CE-B82C0ED00EAA}"/>
    <cellStyle name="Normal 3 2 2" xfId="104" xr:uid="{6323FC6B-448D-4078-AE27-D660FFC71CA2}"/>
    <cellStyle name="Normal 3 3" xfId="70" xr:uid="{6B342C6A-5D78-4752-BE41-FF6447236EDA}"/>
    <cellStyle name="Normal 3 4" xfId="36" xr:uid="{88C22B41-E8E6-4517-B372-46638A356D05}"/>
    <cellStyle name="Normal 3 5" xfId="87" xr:uid="{A1532BC7-5AE0-435F-A70A-EE7EF54BD080}"/>
    <cellStyle name="Normal 3 6" xfId="118" xr:uid="{2B558945-0995-4580-9FB0-53E6A5CA1A9F}"/>
    <cellStyle name="Normal 4" xfId="14" xr:uid="{33DB40CC-20FF-416D-B3A2-FC5D2666B9C6}"/>
    <cellStyle name="Normal 4 2" xfId="54" xr:uid="{99CB9D4F-B5C4-4D04-86D4-C50D3C423B46}"/>
    <cellStyle name="Normal 4 2 2" xfId="105" xr:uid="{8821A170-D31D-42F1-BF36-926802933EAD}"/>
    <cellStyle name="Normal 4 3" xfId="71" xr:uid="{3E1B1624-55AD-4548-9670-287509C546FE}"/>
    <cellStyle name="Normal 4 4" xfId="37" xr:uid="{47987F6E-78DA-4932-9D9A-47562E17A3E1}"/>
    <cellStyle name="Normal 4 5" xfId="88" xr:uid="{F1AC1E85-E56F-4889-8221-D38D71998CBB}"/>
    <cellStyle name="Normal 4 6" xfId="120" xr:uid="{8354C6B2-D274-4427-BC10-A7C2A302A586}"/>
    <cellStyle name="Normal 5" xfId="15" xr:uid="{E216D618-8267-4821-8E92-AE3F3B3B02F8}"/>
    <cellStyle name="Normal 5 2" xfId="55" xr:uid="{7DBF2EEC-D94E-4C7B-814B-0436B7E443AD}"/>
    <cellStyle name="Normal 5 2 2" xfId="106" xr:uid="{0AF45068-94FB-4A0F-A0F8-934FC5E643F3}"/>
    <cellStyle name="Normal 5 3" xfId="72" xr:uid="{695B1CA2-42F2-4389-96E9-4B6705D3F947}"/>
    <cellStyle name="Normal 5 4" xfId="38" xr:uid="{572E9D9F-254C-4D36-860D-1EA51535EEA4}"/>
    <cellStyle name="Normal 5 5" xfId="89" xr:uid="{0F9D070B-682D-474A-A243-9EC5DF13AD57}"/>
    <cellStyle name="Normal 6" xfId="16" xr:uid="{1D9C3BC9-03EC-4A7A-9724-A60F3C896A2E}"/>
    <cellStyle name="Normal 6 2" xfId="56" xr:uid="{F127970B-3F80-42F1-88E9-A9C1BDC8CE96}"/>
    <cellStyle name="Normal 6 2 2" xfId="107" xr:uid="{730A42BE-1F70-49AB-A328-B0F97E91029C}"/>
    <cellStyle name="Normal 6 3" xfId="73" xr:uid="{6B027217-AF58-468E-8D70-F4224AEC6C8D}"/>
    <cellStyle name="Normal 6 4" xfId="39" xr:uid="{488E70CF-664C-4633-B4BD-87F9A3BCF6EF}"/>
    <cellStyle name="Normal 6 5" xfId="90" xr:uid="{658D5FBC-89A8-49D5-A6DB-742C1919B412}"/>
    <cellStyle name="Normal 7" xfId="17" xr:uid="{F345B8C0-85F0-45B5-8822-3B3B89975959}"/>
    <cellStyle name="Normal 7 2" xfId="57" xr:uid="{29EFF381-E892-45CC-BEDC-0D02167B8780}"/>
    <cellStyle name="Normal 7 2 2" xfId="108" xr:uid="{277FCB68-591A-411F-9379-D9D7894E57CD}"/>
    <cellStyle name="Normal 7 3" xfId="74" xr:uid="{BBEE32C5-22CC-4ACB-B915-9076974B904D}"/>
    <cellStyle name="Normal 7 4" xfId="40" xr:uid="{D1E88CC7-4CFE-4E95-BE7C-613620C45590}"/>
    <cellStyle name="Normal 7 5" xfId="91" xr:uid="{14F989B4-9C55-4F1E-B11B-EA89EA17AFFA}"/>
    <cellStyle name="Normal 8" xfId="18" xr:uid="{08E9D81B-C687-43D4-80D4-7ADC3226F986}"/>
    <cellStyle name="Normal 8 2" xfId="58" xr:uid="{59D74D84-0E8C-485D-9CFC-2089E10CAA13}"/>
    <cellStyle name="Normal 8 2 2" xfId="109" xr:uid="{6EA92ED4-C300-46EA-8C52-630AA5A01A74}"/>
    <cellStyle name="Normal 8 3" xfId="75" xr:uid="{354CC91B-9C6B-461B-B556-35278EF96140}"/>
    <cellStyle name="Normal 8 4" xfId="41" xr:uid="{BB50A61B-0340-497E-A250-561B16FEB80F}"/>
    <cellStyle name="Normal 8 5" xfId="92" xr:uid="{7A2C8F43-053F-4A1D-A15F-7630D8B6D480}"/>
    <cellStyle name="Normal 9" xfId="19" xr:uid="{DC29B260-29A2-418F-A2A2-33F7CFCFEF60}"/>
    <cellStyle name="Normal 9 2" xfId="59" xr:uid="{FC5483A5-ADC6-48DD-9E0C-24BFA80254F1}"/>
    <cellStyle name="Normal 9 2 2" xfId="110" xr:uid="{9B21FD18-DBD5-44D2-8634-CE75C01F87A7}"/>
    <cellStyle name="Normal 9 3" xfId="76" xr:uid="{2A04C4E0-FFD7-4054-A11F-E01AF2E56AAC}"/>
    <cellStyle name="Normal 9 4" xfId="42" xr:uid="{F9E528E9-4767-4661-BFCF-0616BCDB17DA}"/>
    <cellStyle name="Normal 9 5" xfId="93" xr:uid="{D44735B3-03B3-4DE2-9770-F1132DD760B3}"/>
    <cellStyle name="Output 2" xfId="3" xr:uid="{3763B9D0-B7E9-4863-BD08-B77E1D6A8647}"/>
    <cellStyle name="Percent 2" xfId="121" xr:uid="{C8C03AA2-30B7-4213-807D-C4DBC25CDEA4}"/>
  </cellStyles>
  <dxfs count="111">
    <dxf>
      <numFmt numFmtId="166" formatCode="mmm\-yyyy"/>
    </dxf>
    <dxf>
      <alignment horizontal="right" vertical="top" wrapText="1"/>
    </dxf>
    <dxf>
      <numFmt numFmtId="13" formatCode="0%"/>
    </dxf>
    <dxf>
      <numFmt numFmtId="13" formatCode="0%"/>
    </dxf>
    <dxf>
      <numFmt numFmtId="3" formatCode="#,##0"/>
    </dxf>
    <dxf>
      <alignment horizontal="left"/>
    </dxf>
    <dxf>
      <numFmt numFmtId="0" formatCode="General"/>
      <alignment horizontal="right"/>
    </dxf>
    <dxf>
      <numFmt numFmtId="166" formatCode="mmm\-yyyy"/>
    </dxf>
    <dxf>
      <numFmt numFmtId="166" formatCode="mmm\-yyyy"/>
    </dxf>
    <dxf>
      <numFmt numFmtId="166" formatCode="mmm\-yyyy"/>
    </dxf>
    <dxf>
      <numFmt numFmtId="166" formatCode="mmm\-yyyy"/>
    </dxf>
    <dxf>
      <numFmt numFmtId="166" formatCode="mmm\-yyyy"/>
    </dxf>
    <dxf>
      <alignment horizontal="right"/>
    </dxf>
    <dxf>
      <numFmt numFmtId="166" formatCode="mmm\-yyyy"/>
    </dxf>
    <dxf>
      <numFmt numFmtId="166" formatCode="mmm\-yyyy"/>
    </dxf>
    <dxf>
      <alignment wrapText="1"/>
    </dxf>
    <dxf>
      <numFmt numFmtId="166" formatCode="mmm\-yyyy"/>
    </dxf>
    <dxf>
      <alignment vertical="top"/>
    </dxf>
    <dxf>
      <numFmt numFmtId="3" formatCode="#,##0"/>
    </dxf>
    <dxf>
      <numFmt numFmtId="164" formatCode="#,##0.0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2" formatCode="mmm\-yy"/>
      <alignment horizontal="center" vertical="center" textRotation="0" wrapText="0" indent="0" justifyLastLine="0" shrinkToFit="0" readingOrder="0"/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_-* #,##0_-;\-* #,##0_-;_-* &quot;-&quot;??_-;_-@_-"/>
      <alignment horizontal="center" vertical="center" textRotation="0" wrapText="0" indent="0" justifyLastLine="0" shrinkToFit="0" readingOrder="0"/>
    </dxf>
    <dxf>
      <numFmt numFmtId="165" formatCode="_-* #,##0_-;\-* #,##0_-;_-* &quot;-&quot;??_-;_-@_-"/>
      <alignment horizontal="center" vertical="center" textRotation="0" wrapText="0" indent="0" justifyLastLine="0" shrinkToFit="0" readingOrder="0"/>
    </dxf>
    <dxf>
      <numFmt numFmtId="165" formatCode="_-* #,##0_-;\-* #,##0_-;_-* &quot;-&quot;??_-;_-@_-"/>
      <alignment horizontal="center" vertical="center" textRotation="0" wrapText="0" indent="0" justifyLastLine="0" shrinkToFit="0" readingOrder="0"/>
    </dxf>
    <dxf>
      <numFmt numFmtId="165" formatCode="_-* #,##0_-;\-* #,##0_-;_-* &quot;-&quot;??_-;_-@_-"/>
      <alignment horizontal="center" vertical="center" textRotation="0" wrapText="0" indent="0" justifyLastLine="0" shrinkToFit="0" readingOrder="0"/>
    </dxf>
    <dxf>
      <numFmt numFmtId="165" formatCode="_-* #,##0_-;\-* #,##0_-;_-* &quot;-&quot;??_-;_-@_-"/>
      <alignment horizontal="center" vertical="center" textRotation="0" wrapText="0" indent="0" justifyLastLine="0" shrinkToFit="0" readingOrder="0"/>
    </dxf>
    <dxf>
      <numFmt numFmtId="165" formatCode="_-* #,##0_-;\-* #,##0_-;_-* &quot;-&quot;??_-;_-@_-"/>
      <alignment horizontal="center" vertical="center" textRotation="0" wrapText="0" indent="0" justifyLastLine="0" shrinkToFit="0" readingOrder="0"/>
    </dxf>
    <dxf>
      <numFmt numFmtId="165" formatCode="_-* #,##0_-;\-* #,##0_-;_-* &quot;-&quot;??_-;_-@_-"/>
      <alignment horizontal="center" vertical="center" textRotation="0" wrapText="0" indent="0" justifyLastLine="0" shrinkToFit="0" readingOrder="0"/>
    </dxf>
    <dxf>
      <numFmt numFmtId="165" formatCode="_-* #,##0_-;\-* #,##0_-;_-* &quot;-&quot;??_-;_-@_-"/>
      <alignment horizontal="center" vertical="center" textRotation="0" wrapText="0" indent="0" justifyLastLine="0" shrinkToFit="0" readingOrder="0"/>
    </dxf>
    <dxf>
      <numFmt numFmtId="165" formatCode="_-* #,##0_-;\-* #,##0_-;_-* &quot;-&quot;??_-;_-@_-"/>
      <alignment horizontal="center" vertical="center" textRotation="0" wrapText="0" indent="0" justifyLastLine="0" shrinkToFit="0" readingOrder="0"/>
    </dxf>
    <dxf>
      <numFmt numFmtId="165" formatCode="_-* #,##0_-;\-* #,##0_-;_-* &quot;-&quot;??_-;_-@_-"/>
      <alignment horizontal="center" vertical="center" textRotation="0" wrapText="0" indent="0" justifyLastLine="0" shrinkToFit="0" readingOrder="0"/>
    </dxf>
    <dxf>
      <numFmt numFmtId="165" formatCode="_-* #,##0_-;\-* #,##0_-;_-* &quot;-&quot;??_-;_-@_-"/>
      <alignment horizontal="center" vertical="center" textRotation="0" wrapText="0" indent="0" justifyLastLine="0" shrinkToFit="0" readingOrder="0"/>
    </dxf>
    <dxf>
      <numFmt numFmtId="165" formatCode="_-* #,##0_-;\-* #,##0_-;_-* &quot;-&quot;??_-;_-@_-"/>
      <alignment horizontal="center" vertical="center" textRotation="0" wrapText="0" indent="0" justifyLastLine="0" shrinkToFit="0" readingOrder="0"/>
    </dxf>
    <dxf>
      <numFmt numFmtId="165" formatCode="_-* #,##0_-;\-* #,##0_-;_-* &quot;-&quot;??_-;_-@_-"/>
      <alignment horizontal="center" vertical="center" textRotation="0" wrapText="0" indent="0" justifyLastLine="0" shrinkToFit="0" readingOrder="0"/>
    </dxf>
    <dxf>
      <numFmt numFmtId="165" formatCode="_-* #,##0_-;\-* #,##0_-;_-* &quot;-&quot;??_-;_-@_-"/>
      <alignment horizontal="center" vertical="center" textRotation="0" wrapText="0" indent="0" justifyLastLine="0" shrinkToFit="0" readingOrder="0"/>
    </dxf>
    <dxf>
      <numFmt numFmtId="165" formatCode="_-* #,##0_-;\-* #,##0_-;_-* &quot;-&quot;??_-;_-@_-"/>
      <alignment horizontal="center" vertical="center" textRotation="0" wrapText="0" indent="0" justifyLastLine="0" shrinkToFit="0" readingOrder="0"/>
    </dxf>
    <dxf>
      <numFmt numFmtId="165" formatCode="_-* #,##0_-;\-* #,##0_-;_-* &quot;-&quot;??_-;_-@_-"/>
      <alignment horizontal="center" vertical="center" textRotation="0" wrapText="0" indent="0" justifyLastLine="0" shrinkToFit="0" readingOrder="0"/>
    </dxf>
    <dxf>
      <numFmt numFmtId="165" formatCode="_-* #,##0_-;\-* #,##0_-;_-* &quot;-&quot;??_-;_-@_-"/>
      <alignment horizontal="center" vertical="center" textRotation="0" wrapText="0" indent="0" justifyLastLine="0" shrinkToFit="0" readingOrder="0"/>
    </dxf>
    <dxf>
      <numFmt numFmtId="165" formatCode="_-* #,##0_-;\-* #,##0_-;_-* &quot;-&quot;??_-;_-@_-"/>
      <alignment horizontal="center" vertical="center" textRotation="0" wrapText="0" indent="0" justifyLastLine="0" shrinkToFit="0" readingOrder="0"/>
    </dxf>
    <dxf>
      <numFmt numFmtId="165" formatCode="_-* #,##0_-;\-* #,##0_-;_-* &quot;-&quot;??_-;_-@_-"/>
      <alignment horizontal="center" vertical="center" textRotation="0" wrapText="0" indent="0" justifyLastLine="0" shrinkToFit="0" readingOrder="0"/>
    </dxf>
    <dxf>
      <numFmt numFmtId="165" formatCode="_-* #,##0_-;\-* #,##0_-;_-* &quot;-&quot;??_-;_-@_-"/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#,##0.0"/>
      <alignment horizontal="center" vertical="center" textRotation="0" wrapText="0" indent="0" justifyLastLine="0" shrinkToFit="0" readingOrder="0"/>
    </dxf>
    <dxf>
      <numFmt numFmtId="164" formatCode="#,##0.0"/>
      <alignment horizontal="center" vertical="center" textRotation="0" wrapText="0" indent="0" justifyLastLine="0" shrinkToFit="0" readingOrder="0"/>
    </dxf>
    <dxf>
      <numFmt numFmtId="164" formatCode="#,##0.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2" formatCode="mmm\-yy"/>
      <alignment horizontal="center" vertical="center" textRotation="0" wrapText="0" indent="0" justifyLastLine="0" shrinkToFit="0" readingOrder="0"/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#,##0.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2" formatCode="mmm\-yy"/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yrp.sharepoint.com/sites/OESVendorWorkspace-Housekeeping/Shared%20Documents/Housekeeping/Waste/2025%20OES%20Waste%20Management%20-%20Recycling%20Tonnage%20report.xlsx" TargetMode="External"/><Relationship Id="rId1" Type="http://schemas.openxmlformats.org/officeDocument/2006/relationships/externalLinkPath" Target="https://myrp.sharepoint.com/sites/OESVendorWorkspace-Housekeeping/Shared%20Documents/Housekeeping/Waste/2025%20OES%20Waste%20Management%20-%20Recycling%20Tonnage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nce 2009"/>
      <sheetName val="SIT@RP"/>
      <sheetName val="OES Dept Graph"/>
      <sheetName val="OSE  (2)"/>
      <sheetName val="OSE "/>
      <sheetName val="Current since 2018"/>
      <sheetName val="Pivot %"/>
      <sheetName val="Recycling Tonnage (2)"/>
      <sheetName val="Recycling Tonnage"/>
      <sheetName val="WDI"/>
      <sheetName val="WDI--X"/>
      <sheetName val="Pivot (Summary-G+R)"/>
      <sheetName val="Waste Reduction Forecast"/>
      <sheetName val="Waste Record Check"/>
      <sheetName val="OSE Report (WDI)"/>
      <sheetName val="WMP-2024"/>
      <sheetName val="2023 (NewFormat)--Outdated"/>
      <sheetName val="2023 (Old)"/>
      <sheetName val="2022"/>
      <sheetName val="2021"/>
      <sheetName val="2020"/>
      <sheetName val="2019"/>
      <sheetName val="2018"/>
      <sheetName val="2017"/>
      <sheetName val="2016"/>
      <sheetName val="20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Bee Ling Linda Ong" id="{54B6183F-060F-4F54-B73E-30A506EDED4C}" userId="S::linda_ong@rp.edu.sg::436537ff-d09d-4a93-9408-baa43badce73" providerId="AD"/>
</personList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ai_manjing/AppData/Local/Microsoft/Windows/INetCache/Content.Outlook/T0CVKJQ4/Template%20for%20Data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o Shu Fang" refreshedDate="45917.477370138891" createdVersion="8" refreshedVersion="8" minRefreshableVersion="3" recordCount="19" xr:uid="{E47E9E29-83C6-470C-9C6F-5DCADA918EFD}">
  <cacheSource type="worksheet">
    <worksheetSource name="Table3[[FY]:[Recycled Waste (kg)]]" r:id="rId2"/>
  </cacheSource>
  <cacheFields count="10">
    <cacheField name="FY" numFmtId="166">
      <sharedItems count="3">
        <s v="FY2023"/>
        <s v="FY2024"/>
        <s v="FY2025"/>
      </sharedItems>
    </cacheField>
    <cacheField name="Month" numFmtId="166">
      <sharedItems containsSemiMixedTypes="0" containsNonDate="0" containsDate="1" containsString="0" minDate="2024-01-01T00:00:00" maxDate="2025-12-02T00:00:00" count="24"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 u="1"/>
        <d v="2025-09-01T00:00:00" u="1"/>
        <d v="2025-10-01T00:00:00" u="1"/>
        <d v="2025-11-01T00:00:00" u="1"/>
        <d v="2025-12-01T00:00:00" u="1"/>
      </sharedItems>
    </cacheField>
    <cacheField name="% (General Waste)" numFmtId="10">
      <sharedItems containsSemiMixedTypes="0" containsString="0" containsNumber="1" minValue="0.58123004453119298" maxValue="0.85055783194272816"/>
    </cacheField>
    <cacheField name="% (Recycled Waste)" numFmtId="10">
      <sharedItems containsSemiMixedTypes="0" containsString="0" containsNumber="1" minValue="0.14944216805727178" maxValue="0.41876995546880708"/>
    </cacheField>
    <cacheField name="Total Waste (kg)" numFmtId="3">
      <sharedItems containsSemiMixedTypes="0" containsString="0" containsNumber="1" minValue="35925.619999999995" maxValue="65442.879999999997"/>
    </cacheField>
    <cacheField name="General Waste (kg)" numFmtId="3">
      <sharedItems containsSemiMixedTypes="0" containsString="0" containsNumber="1" containsInteger="1" minValue="27040" maxValue="54130"/>
    </cacheField>
    <cacheField name="#1 _x000a_Compactor" numFmtId="3">
      <sharedItems containsSemiMixedTypes="0" containsString="0" containsNumber="1" containsInteger="1" minValue="10000" maxValue="29000"/>
    </cacheField>
    <cacheField name="#2 _x000a_Bulk Bins" numFmtId="3">
      <sharedItems containsSemiMixedTypes="0" containsString="0" containsNumber="1" containsInteger="1" minValue="11800" maxValue="28330"/>
    </cacheField>
    <cacheField name="#3 _x000a_OTC" numFmtId="0">
      <sharedItems containsMixedTypes="1" containsNumber="1" containsInteger="1" minValue="0" maxValue="3240"/>
    </cacheField>
    <cacheField name="Recycled Waste (kg)" numFmtId="3">
      <sharedItems containsSemiMixedTypes="0" containsString="0" containsNumber="1" minValue="6736.3" maxValue="21798.4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x v="0"/>
    <n v="0.82672716601991925"/>
    <n v="0.17327283398008075"/>
    <n v="57080.5"/>
    <n v="47190"/>
    <n v="24890"/>
    <n v="22300"/>
    <s v="NIL"/>
    <n v="9890.5"/>
  </r>
  <r>
    <x v="0"/>
    <x v="1"/>
    <n v="0.7912536102387755"/>
    <n v="0.20874638976122442"/>
    <n v="45516.380000000005"/>
    <n v="36015"/>
    <n v="15830"/>
    <n v="20185"/>
    <s v="&lt;&lt;"/>
    <n v="9501.380000000001"/>
  </r>
  <r>
    <x v="0"/>
    <x v="2"/>
    <n v="0.79493206882731482"/>
    <n v="0.20506793117268524"/>
    <n v="44412.6"/>
    <n v="35305"/>
    <n v="12200"/>
    <n v="23105"/>
    <s v="&lt;&lt;"/>
    <n v="9107.6"/>
  </r>
  <r>
    <x v="1"/>
    <x v="3"/>
    <n v="0.79690483829716041"/>
    <n v="0.20309516170283959"/>
    <n v="47935.46"/>
    <n v="38200"/>
    <n v="17840"/>
    <n v="20360"/>
    <s v="NIL"/>
    <n v="9735.4599999999991"/>
  </r>
  <r>
    <x v="1"/>
    <x v="4"/>
    <n v="0.8373436225102705"/>
    <n v="0.16265637748972944"/>
    <n v="63056.55"/>
    <n v="52800"/>
    <n v="24470"/>
    <n v="28330"/>
    <s v="NIL"/>
    <n v="10256.549999999999"/>
  </r>
  <r>
    <x v="1"/>
    <x v="5"/>
    <n v="0.6328812793588976"/>
    <n v="0.36711872064110251"/>
    <n v="46659.619999999995"/>
    <n v="29530"/>
    <n v="12210"/>
    <n v="17320"/>
    <s v="NIL"/>
    <n v="17129.62"/>
  </r>
  <r>
    <x v="1"/>
    <x v="6"/>
    <n v="0.77579104098108154"/>
    <n v="0.22420895901891849"/>
    <n v="65442.879999999997"/>
    <n v="50770"/>
    <n v="24840"/>
    <n v="25930"/>
    <s v="NIL"/>
    <n v="14672.88"/>
  </r>
  <r>
    <x v="1"/>
    <x v="7"/>
    <n v="0.80982940214411214"/>
    <n v="0.1901705978558878"/>
    <n v="50498.29"/>
    <n v="40895"/>
    <n v="17530"/>
    <n v="22285"/>
    <n v="1080"/>
    <n v="9603.2900000000009"/>
  </r>
  <r>
    <x v="1"/>
    <x v="8"/>
    <n v="0.60562195829091314"/>
    <n v="0.39437804170908691"/>
    <n v="52392.42"/>
    <n v="31730"/>
    <n v="11150"/>
    <n v="18480"/>
    <n v="2100"/>
    <n v="20662.419999999998"/>
  </r>
  <r>
    <x v="1"/>
    <x v="9"/>
    <n v="0.83909775910501472"/>
    <n v="0.16090224089498531"/>
    <n v="50995.25"/>
    <n v="42790"/>
    <n v="19510"/>
    <n v="23280"/>
    <s v="NIL"/>
    <n v="8205.25"/>
  </r>
  <r>
    <x v="1"/>
    <x v="10"/>
    <n v="0.83917848875317891"/>
    <n v="0.16082151124682109"/>
    <n v="64503.56"/>
    <n v="54130"/>
    <n v="23620"/>
    <n v="28300"/>
    <n v="2210"/>
    <n v="10373.56"/>
  </r>
  <r>
    <x v="1"/>
    <x v="11"/>
    <n v="0.71889293482943539"/>
    <n v="0.28110706517056455"/>
    <n v="43407.020000000004"/>
    <n v="31205"/>
    <n v="12470"/>
    <n v="15555"/>
    <n v="3180"/>
    <n v="12202.02"/>
  </r>
  <r>
    <x v="1"/>
    <x v="12"/>
    <n v="0.79727963202843855"/>
    <n v="0.20272036797156154"/>
    <n v="50534.34"/>
    <n v="40290"/>
    <n v="21180"/>
    <n v="17910"/>
    <n v="1200"/>
    <n v="10244.34"/>
  </r>
  <r>
    <x v="1"/>
    <x v="13"/>
    <n v="0.81358177047834546"/>
    <n v="0.18641822952165457"/>
    <n v="40831.79"/>
    <n v="33220"/>
    <n v="15820"/>
    <n v="17400"/>
    <s v="NIL"/>
    <n v="7611.79"/>
  </r>
  <r>
    <x v="1"/>
    <x v="14"/>
    <n v="0.7526662031163277"/>
    <n v="0.24733379688367244"/>
    <n v="35925.619999999995"/>
    <n v="27040"/>
    <n v="10000"/>
    <n v="13800"/>
    <n v="3240"/>
    <n v="8885.619999999999"/>
  </r>
  <r>
    <x v="2"/>
    <x v="15"/>
    <n v="0.85055783194272816"/>
    <n v="0.14944216805727178"/>
    <n v="45076.3"/>
    <n v="38340"/>
    <n v="25440"/>
    <n v="11800"/>
    <n v="1100"/>
    <n v="6736.3"/>
  </r>
  <r>
    <x v="2"/>
    <x v="16"/>
    <n v="0.84613000933218452"/>
    <n v="0.1538699906678154"/>
    <n v="55828.3"/>
    <n v="47238"/>
    <n v="27368"/>
    <n v="19170"/>
    <n v="700"/>
    <n v="8590.2999999999993"/>
  </r>
  <r>
    <x v="2"/>
    <x v="17"/>
    <n v="0.58123004453119298"/>
    <n v="0.41876995546880708"/>
    <n v="52053.4"/>
    <n v="30255"/>
    <n v="17075"/>
    <n v="13180"/>
    <n v="0"/>
    <n v="21798.400000000001"/>
  </r>
  <r>
    <x v="2"/>
    <x v="18"/>
    <n v="0.85036528734952233"/>
    <n v="0.1496347126504777"/>
    <n v="52065.86"/>
    <n v="44275"/>
    <n v="29000"/>
    <n v="14100"/>
    <n v="1175"/>
    <n v="7790.86000000000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F9235F-A397-445A-8972-0D0158C6C0B6}" name="PivotTable2" cacheId="0" applyNumberFormats="0" applyBorderFormats="0" applyFontFormats="0" applyPatternFormats="0" applyAlignmentFormats="0" applyWidthHeightFormats="1" dataCaption="Values" updatedVersion="8" minRefreshableVersion="3" rowGrandTotals="0" colGrandTotals="0" createdVersion="8" indent="0" outline="1" outlineData="1" multipleFieldFilters="0" chartFormat="129" rowHeaderCaption="FY">
  <location ref="A2:E24" firstHeaderRow="0" firstDataRow="1" firstDataCol="1"/>
  <pivotFields count="10">
    <pivotField axis="axisRow" showAll="0">
      <items count="4">
        <item x="0"/>
        <item x="1"/>
        <item x="2"/>
        <item t="default"/>
      </items>
    </pivotField>
    <pivotField axis="axisRow" numFmtId="166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m="1" x="19"/>
        <item m="1" x="20"/>
        <item m="1" x="21"/>
        <item m="1" x="22"/>
        <item m="1" x="23"/>
        <item t="default"/>
      </items>
    </pivotField>
    <pivotField dataField="1" showAll="0"/>
    <pivotField dataField="1" showAll="0"/>
    <pivotField showAll="0"/>
    <pivotField dataField="1" numFmtId="3" showAll="0"/>
    <pivotField showAll="0"/>
    <pivotField showAll="0"/>
    <pivotField showAll="0"/>
    <pivotField dataField="1" showAll="0"/>
  </pivotFields>
  <rowFields count="2">
    <field x="0"/>
    <field x="1"/>
  </rowFields>
  <rowItems count="22">
    <i>
      <x/>
    </i>
    <i r="1">
      <x/>
    </i>
    <i r="1">
      <x v="1"/>
    </i>
    <i r="1">
      <x v="2"/>
    </i>
    <i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"/>
    </i>
    <i r="1">
      <x v="15"/>
    </i>
    <i r="1">
      <x v="16"/>
    </i>
    <i r="1">
      <x v="17"/>
    </i>
    <i r="1">
      <x v="18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 General Waste (kg)" fld="5" baseField="0" baseItem="0" numFmtId="3"/>
    <dataField name=" Recycled Waste (kg)" fld="9" baseField="0" baseItem="5"/>
    <dataField name=" % (General Waste)" fld="2" subtotal="average" baseField="0" baseItem="5" numFmtId="9"/>
    <dataField name=" % (Recycled Waste)" fld="3" subtotal="average" baseField="0" baseItem="5" numFmtId="9"/>
  </dataFields>
  <formats count="19">
    <format dxfId="18">
      <pivotArea outline="0" collapsedLevelsAreSubtotals="1" fieldPosition="0"/>
    </format>
    <format dxfId="17">
      <pivotArea field="0" type="button" dataOnly="0" labelOnly="1" outline="0" axis="axisRow" fieldPosition="0"/>
    </format>
    <format dxfId="16">
      <pivotArea dataOnly="0" labelOnly="1" fieldPosition="0">
        <references count="2">
          <reference field="0" count="1" selected="0">
            <x v="1"/>
          </reference>
          <reference field="1" count="3">
            <x v="3"/>
            <x v="4"/>
            <x v="5"/>
          </reference>
        </references>
      </pivotArea>
    </format>
    <format dxfId="15">
      <pivotArea field="0" type="button" dataOnly="0" labelOnly="1" outline="0" axis="axisRow" fieldPosition="0"/>
    </format>
    <format dxfId="14">
      <pivotArea dataOnly="0" labelOnly="1" fieldPosition="0">
        <references count="1">
          <reference field="0" count="0"/>
        </references>
      </pivotArea>
    </format>
    <format dxfId="13">
      <pivotArea dataOnly="0" labelOnly="1" grandRow="1" outline="0" fieldPosition="0"/>
    </format>
    <format dxfId="12">
      <pivotArea outline="0" collapsedLevelsAreSubtotals="1" fieldPosition="0"/>
    </format>
    <format dxfId="11">
      <pivotArea dataOnly="0" labelOnly="1" fieldPosition="0">
        <references count="2">
          <reference field="0" count="1" selected="0">
            <x v="1"/>
          </reference>
          <reference field="1" count="1">
            <x v="6"/>
          </reference>
        </references>
      </pivotArea>
    </format>
    <format dxfId="10">
      <pivotArea dataOnly="0" labelOnly="1" fieldPosition="0">
        <references count="2">
          <reference field="0" count="1" selected="0">
            <x v="1"/>
          </reference>
          <reference field="1" count="2">
            <x v="7"/>
            <x v="8"/>
          </reference>
        </references>
      </pivotArea>
    </format>
    <format dxfId="9">
      <pivotArea dataOnly="0" labelOnly="1" fieldPosition="0">
        <references count="2">
          <reference field="0" count="1" selected="0">
            <x v="1"/>
          </reference>
          <reference field="1" count="1">
            <x v="9"/>
          </reference>
        </references>
      </pivotArea>
    </format>
    <format dxfId="8">
      <pivotArea dataOnly="0" labelOnly="1" fieldPosition="0">
        <references count="2">
          <reference field="0" count="1" selected="0">
            <x v="1"/>
          </reference>
          <reference field="1" count="2">
            <x v="10"/>
            <x v="11"/>
          </reference>
        </references>
      </pivotArea>
    </format>
    <format dxfId="7">
      <pivotArea dataOnly="0" labelOnly="1" fieldPosition="0">
        <references count="2">
          <reference field="0" count="1" selected="0">
            <x v="1"/>
          </reference>
          <reference field="1" count="2">
            <x v="12"/>
            <x v="13"/>
          </reference>
        </references>
      </pivotArea>
    </format>
    <format dxfId="6">
      <pivotArea field="0" type="button" dataOnly="0" labelOnly="1" outline="0" axis="axisRow" fieldPosition="0"/>
    </format>
    <format dxfId="5">
      <pivotArea field="0" type="button" dataOnly="0" labelOnly="1" outline="0" axis="axisRow" fieldPosition="0"/>
    </format>
    <format dxfId="4">
      <pivotArea collapsedLevelsAreSubtotals="1" fieldPosition="0">
        <references count="1">
          <reference field="0" count="1">
            <x v="0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0">
      <pivotArea field="0" type="button" dataOnly="0" labelOnly="1" outline="0" axis="axisRow" fieldPosition="0"/>
    </format>
  </formats>
  <chartFormats count="10">
    <chartFormat chart="7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9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9" format="4">
      <pivotArea type="data" outline="0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chartFormat>
    <chartFormat chart="79" format="5">
      <pivotArea type="data" outline="0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chartFormat>
    <chartFormat chart="79" format="6">
      <pivotArea type="data" outline="0" fieldPosition="0">
        <references count="2">
          <reference field="4294967294" count="1" selected="0">
            <x v="2"/>
          </reference>
          <reference field="0" count="1" selected="0">
            <x v="2"/>
          </reference>
        </references>
      </pivotArea>
    </chartFormat>
    <chartFormat chart="79" format="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9" format="9">
      <pivotArea type="data" outline="0" fieldPosition="0">
        <references count="2">
          <reference field="4294967294" count="1" selected="0">
            <x v="3"/>
          </reference>
          <reference field="0" count="1" selected="0">
            <x v="0"/>
          </reference>
        </references>
      </pivotArea>
    </chartFormat>
    <chartFormat chart="79" format="10">
      <pivotArea type="data" outline="0" fieldPosition="0">
        <references count="2">
          <reference field="4294967294" count="1" selected="0">
            <x v="3"/>
          </reference>
          <reference field="0" count="1" selected="0">
            <x v="1"/>
          </reference>
        </references>
      </pivotArea>
    </chartFormat>
    <chartFormat chart="79" format="11">
      <pivotArea type="data" outline="0" fieldPosition="0">
        <references count="2">
          <reference field="4294967294" count="1" selected="0">
            <x v="3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7A98853-2454-4E1F-8367-41EAE4FA9555}" name="Table26" displayName="Table26" ref="C2:D21" totalsRowShown="0" headerRowDxfId="110" headerRowBorderDxfId="109" tableBorderDxfId="108" totalsRowBorderDxfId="107">
  <autoFilter ref="C2:D21" xr:uid="{79678A8C-70DA-4014-B7CA-CBB885D7739A}"/>
  <tableColumns count="2">
    <tableColumn id="1" xr3:uid="{83631AF3-ABDB-4B0C-B0AC-0D8D01029821}" name="Month" dataDxfId="106"/>
    <tableColumn id="2" xr3:uid="{1DBC11BD-A12D-4AB9-B479-E037C6A87987}" name="kWh (SP Metered)" dataDxfId="105"/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6B9B57-CE22-4C5A-B067-2FFD8C583F5E}" name="Table2" displayName="Table2" ref="B4:X16" totalsRowShown="0" headerRowDxfId="104">
  <autoFilter ref="B4:X16" xr:uid="{2D6B9B57-CE22-4C5A-B067-2FFD8C583F5E}"/>
  <tableColumns count="23">
    <tableColumn id="1" xr3:uid="{F86CA1D1-8FDD-4775-AB0A-4EB48789B643}" name="BUILDING NAME" dataDxfId="103"/>
    <tableColumn id="2" xr3:uid="{283F446A-1F75-4437-B9B9-1C4058838F20}" name="ECMC " dataDxfId="102" dataCellStyle="Comma"/>
    <tableColumn id="3" xr3:uid="{3C1516E7-B9CC-4C38-AC9D-54695A24E748}" name="RPC" dataDxfId="101" dataCellStyle="Comma"/>
    <tableColumn id="4" xr3:uid="{9CB72924-E50B-4199-B0A7-C9DD7B2F3D3F}" name="TRCC" dataDxfId="100" dataCellStyle="Comma"/>
    <tableColumn id="5" xr3:uid="{B170A2B2-8565-4A68-9BE5-3691EADD02B0}" name="E1" dataDxfId="99" dataCellStyle="Comma"/>
    <tableColumn id="6" xr3:uid="{79F8A31D-AA0F-4DD7-8014-3D72B6B9D8EE}" name="E2" dataDxfId="98" dataCellStyle="Comma"/>
    <tableColumn id="7" xr3:uid="{9D8DD435-86A2-4AD1-9CA8-E78BBF25F4C0}" name="E3 (incl Agora Library)" dataDxfId="97" dataCellStyle="Comma"/>
    <tableColumn id="8" xr3:uid="{23ACCA2F-0C62-4998-BABF-28E893B29E6F}" name="E4" dataDxfId="96" dataCellStyle="Comma"/>
    <tableColumn id="9" xr3:uid="{13E88C78-8886-4950-85ED-13ABC952E4E5}" name="E5" dataDxfId="95" dataCellStyle="Comma"/>
    <tableColumn id="10" xr3:uid="{6DDBFA83-EEF3-4660-B841-D6FD56823E72}" name="E6" dataDxfId="94" dataCellStyle="Comma"/>
    <tableColumn id="11" xr3:uid="{64C1F7BB-6B71-415C-8464-45575029A608}" name="W1" dataDxfId="93" dataCellStyle="Comma"/>
    <tableColumn id="12" xr3:uid="{7DFF8E9F-53DD-4303-9F40-337E23D734D7}" name="W2" dataDxfId="92" dataCellStyle="Comma"/>
    <tableColumn id="13" xr3:uid="{75285FCB-605B-4C1C-8BAA-34FA7CE72F8D}" name="W3" dataDxfId="91" dataCellStyle="Comma"/>
    <tableColumn id="14" xr3:uid="{A1B9B636-3772-40A7-B6CE-C9C0F7276B98}" name="W4, Agora Hall" dataDxfId="90" dataCellStyle="Comma"/>
    <tableColumn id="15" xr3:uid="{CF9D5D80-A4A4-4D43-9141-AF1D55E846A8}" name="W5" dataDxfId="89" dataCellStyle="Comma"/>
    <tableColumn id="16" xr3:uid="{39A4925D-C61E-4DEB-995D-D082B38F3849}" name="W6" dataDxfId="88" dataCellStyle="Comma"/>
    <tableColumn id="18" xr3:uid="{4B06C302-D8E2-4F29-B75B-D126CF976E16}" name="Sports Complex " dataDxfId="87" dataCellStyle="Comma"/>
    <tableColumn id="19" xr3:uid="{D8C1D9C3-CB88-4D34-9E90-BB37A45B65CF}" name="The Arch (1&amp;2)" dataDxfId="86" dataCellStyle="Comma"/>
    <tableColumn id="20" xr3:uid="{702AB9B9-4237-49D6-8760-E8B7856D1EF8}" name="Green House" dataDxfId="85" dataCellStyle="Comma"/>
    <tableColumn id="21" xr3:uid="{43A48CDB-044D-40BF-B679-4C18AF770C1F}" name="Blk 43" dataDxfId="84" dataCellStyle="Comma"/>
    <tableColumn id="22" xr3:uid="{F0870343-C41A-4823-863F-46836696534F}" name="RPIC" dataDxfId="83" dataCellStyle="Comma"/>
    <tableColumn id="23" xr3:uid="{B63AE2FF-C558-44FC-9877-C9F47FE848A9}" name="XLC" dataDxfId="82" dataCellStyle="Comma"/>
    <tableColumn id="24" xr3:uid="{D29B137A-44DF-499F-BFD0-4D5B94B9F43D}" name="ALC" dataDxfId="81" dataCellStyle="Comma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C0E141-DA08-45A7-B07F-C85C5E552118}" name="Table24" displayName="Table24" ref="B19:X31" totalsRowShown="0" headerRowDxfId="80">
  <autoFilter ref="B19:X31" xr:uid="{BDC0E141-DA08-45A7-B07F-C85C5E552118}"/>
  <tableColumns count="23">
    <tableColumn id="1" xr3:uid="{A39497AD-4A0F-495E-BA5F-5A947FBFA8A2}" name="BUILDING NAME" dataDxfId="79"/>
    <tableColumn id="2" xr3:uid="{D148D577-5DDD-4E45-963A-90538A6B6D0D}" name="ECMC " dataDxfId="78" dataCellStyle="Comma"/>
    <tableColumn id="3" xr3:uid="{CA086970-A609-4A2E-BC36-B594C6F164EC}" name="RPC" dataDxfId="77" dataCellStyle="Comma"/>
    <tableColumn id="4" xr3:uid="{29DFA7DD-1806-463A-BE73-945DF68CEE2C}" name="TRCC" dataDxfId="76" dataCellStyle="Comma"/>
    <tableColumn id="5" xr3:uid="{574051C5-B5D3-4C77-92D0-C592554E83D3}" name="E1" dataDxfId="75" dataCellStyle="Comma"/>
    <tableColumn id="6" xr3:uid="{B9A48393-FB1F-49E0-929F-FA8B38C417EE}" name="E2" dataDxfId="74" dataCellStyle="Comma"/>
    <tableColumn id="7" xr3:uid="{5B42D448-D7E6-4E7E-8FFD-D854FEF620D7}" name="E3 (incl Agora Library)" dataDxfId="73" dataCellStyle="Comma"/>
    <tableColumn id="8" xr3:uid="{A29D0D77-D7EC-44ED-8C9A-A99D94E1933C}" name="E4" dataDxfId="72" dataCellStyle="Comma"/>
    <tableColumn id="9" xr3:uid="{ABD22121-8274-4595-941F-954099E6BBA4}" name="E5" dataDxfId="71" dataCellStyle="Comma"/>
    <tableColumn id="10" xr3:uid="{93E1AF2D-79F4-4303-A4C5-640DC85013B8}" name="E6" dataDxfId="70" dataCellStyle="Comma"/>
    <tableColumn id="11" xr3:uid="{8A24F9DD-514A-4AC5-81C6-A76E537666FA}" name="W1" dataDxfId="69" dataCellStyle="Comma"/>
    <tableColumn id="12" xr3:uid="{2A5E8D09-97B9-4B2C-8AEA-BA368C021BA5}" name="W2" dataDxfId="68" dataCellStyle="Comma"/>
    <tableColumn id="13" xr3:uid="{F30F5436-63E8-4361-9C90-FCBE6DA8FA12}" name="W3" dataDxfId="67" dataCellStyle="Comma"/>
    <tableColumn id="14" xr3:uid="{89030CF8-F865-4C3A-AFCD-A64FCA7BBE6E}" name="W4, Agora Hall" dataDxfId="66" dataCellStyle="Comma"/>
    <tableColumn id="15" xr3:uid="{5A34234B-534E-4EB8-AC6D-B13E52FAA4B1}" name="W5" dataDxfId="65" dataCellStyle="Comma"/>
    <tableColumn id="16" xr3:uid="{6FED740D-CD90-4363-AB16-40C973963EEC}" name="W6" dataDxfId="64" dataCellStyle="Comma"/>
    <tableColumn id="18" xr3:uid="{8B21A4DA-C864-4BE0-A744-BEED926D7DC2}" name="Sports Complex " dataDxfId="63" dataCellStyle="Comma"/>
    <tableColumn id="19" xr3:uid="{3BF38314-5ABA-4E88-87A2-D0D7A196202F}" name="The Arch (1&amp;2)" dataDxfId="62" dataCellStyle="Comma"/>
    <tableColumn id="20" xr3:uid="{FF9F9DA1-606C-4F29-96AD-72FD25652085}" name="Green House" dataDxfId="61" dataCellStyle="Comma"/>
    <tableColumn id="21" xr3:uid="{78804B30-729C-4046-9F98-9ED18E65C1BF}" name="Blk 43" dataDxfId="60" dataCellStyle="Comma"/>
    <tableColumn id="22" xr3:uid="{EA78C5E9-607A-4895-8829-CAE6CEECCABB}" name="RPIC" dataDxfId="59" dataCellStyle="Comma"/>
    <tableColumn id="23" xr3:uid="{287E93DB-AA7A-4CE9-8206-635CE7AA2ABD}" name="XLC" dataDxfId="58" dataCellStyle="Comma"/>
    <tableColumn id="24" xr3:uid="{9AD235AD-539C-4DB5-9176-2EDD1FAA52B6}" name="ALC" dataDxfId="57" dataCellStyle="Comma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7C3EED-2FEE-4766-B5E9-312C4F8DE28C}" name="Table262" displayName="Table262" ref="C2:F22" totalsRowShown="0" headerRowDxfId="56" headerRowBorderDxfId="55" tableBorderDxfId="54" totalsRowBorderDxfId="53">
  <autoFilter ref="C2:F22" xr:uid="{79678A8C-70DA-4014-B7CA-CBB885D7739A}"/>
  <tableColumns count="4">
    <tableColumn id="1" xr3:uid="{FE563F84-D4B2-4771-B7A6-864B489E65F1}" name="Month" dataDxfId="52"/>
    <tableColumn id="2" xr3:uid="{646B3FBD-697D-44BE-B101-D4F92F7E64AA}" name="Cu3 (Portable Water)" dataDxfId="51"/>
    <tableColumn id="3" xr3:uid="{A0A66308-FA30-407D-853A-D708F9D0AFD0}" name="Cu3 (NEWater)" dataDxfId="50"/>
    <tableColumn id="4" xr3:uid="{DEFF085D-5EB3-4CDD-BECF-E18671B0C54D}" name="Cu3 (Total)" dataDxfId="49">
      <calculatedColumnFormula>Table262[[#This Row],[Cu3 (Portable Water)]]+Table262[[#This Row],[Cu3 (NEWater)]]</calculatedColumnFormula>
    </tableColumn>
  </tableColumns>
  <tableStyleInfo name="TableStyleLight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03FDFBE-12DB-4D1C-B395-B5A066B7F0C0}" name="Table247" displayName="Table247" ref="B3:V11" totalsRowShown="0" headerRowDxfId="48">
  <autoFilter ref="B3:V11" xr:uid="{BDC0E141-DA08-45A7-B07F-C85C5E552118}"/>
  <tableColumns count="21">
    <tableColumn id="1" xr3:uid="{883A9D5A-5FDA-44EF-A5E8-23F42CFE06B7}" name="Month" dataDxfId="47"/>
    <tableColumn id="2" xr3:uid="{41DB06EA-63A4-4B39-8754-BC66906D2296}" name="E1" dataDxfId="46" dataCellStyle="Comma"/>
    <tableColumn id="3" xr3:uid="{14F1A9D9-F9E5-41D2-B1B4-EC507BD21F43}" name="E2" dataDxfId="45" dataCellStyle="Comma"/>
    <tableColumn id="4" xr3:uid="{247B3851-7D30-4808-81F5-A3B771E835F0}" name="E3" dataDxfId="44" dataCellStyle="Comma"/>
    <tableColumn id="5" xr3:uid="{84DE9749-76A8-4216-A7B7-5B119E92337C}" name="E4" dataDxfId="43" dataCellStyle="Comma"/>
    <tableColumn id="6" xr3:uid="{4BFC81C7-C66F-4E59-982E-96EDFDB09A66}" name="E5" dataDxfId="42" dataCellStyle="Comma"/>
    <tableColumn id="7" xr3:uid="{AF8D0554-DBA9-47BE-A249-723FCD676272}" name="E6" dataDxfId="41" dataCellStyle="Comma"/>
    <tableColumn id="8" xr3:uid="{52BED67B-BAD1-47FE-8BEF-B6320D82B560}" name="W1" dataDxfId="40" dataCellStyle="Comma"/>
    <tableColumn id="9" xr3:uid="{49B0ECEF-51B5-4BB6-AA5F-CB2F02C2E304}" name="W2" dataDxfId="39" dataCellStyle="Comma"/>
    <tableColumn id="10" xr3:uid="{E495308E-E676-48E6-B339-50853A820ABC}" name="W3" dataDxfId="38" dataCellStyle="Comma"/>
    <tableColumn id="11" xr3:uid="{E655D8A2-7F5C-4889-AC36-A19459FDF0AD}" name="W4" dataDxfId="37" dataCellStyle="Comma"/>
    <tableColumn id="12" xr3:uid="{D8FD8BF2-1B17-43CF-8DAC-965C00884618}" name="W5" dataDxfId="36" dataCellStyle="Comma"/>
    <tableColumn id="13" xr3:uid="{7871A71C-5647-4594-9C77-B11E3FA57DDF}" name="W6" dataDxfId="35" dataCellStyle="Comma"/>
    <tableColumn id="14" xr3:uid="{2F923012-D660-473E-8D7A-AB49B60F95CD}" name="RPC" dataDxfId="34" dataCellStyle="Comma"/>
    <tableColumn id="15" xr3:uid="{1C56C9BD-E0A3-4E70-84FE-F82FB4B3358C}" name="TRCC" dataDxfId="33" dataCellStyle="Comma"/>
    <tableColumn id="16" xr3:uid="{11E2AC6D-6290-4011-97C7-D8E2B79BF63D}" name="SIT" dataDxfId="32" dataCellStyle="Comma"/>
    <tableColumn id="17" xr3:uid="{2E0BD9C3-02E1-4EC8-A6C0-B293F3175461}" name="RPIC" dataDxfId="31" dataCellStyle="Comma"/>
    <tableColumn id="18" xr3:uid="{ACAC9B6F-31F9-4D5C-B850-B117F55BABA5}" name="ECMC" dataDxfId="30" dataCellStyle="Comma"/>
    <tableColumn id="19" xr3:uid="{DAFB931D-DB0C-4C8F-B182-DCB33D958600}" name="SPORT HALL" dataDxfId="29" dataCellStyle="Comma"/>
    <tableColumn id="20" xr3:uid="{126D7BD0-88DF-4955-AA97-3FF11E032C33}" name="GREEN HOUSE" dataDxfId="28" dataCellStyle="Comma"/>
    <tableColumn id="21" xr3:uid="{04886368-3F8D-48EF-B0AA-B8D8848A5A5E}" name="The ARCH" dataDxfId="27" dataCellStyle="Comma"/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E2E8E0D-A0F7-4638-B026-EB2C041FF8BF}" name="Table2628" displayName="Table2628" ref="C2:F22" totalsRowShown="0" headerRowDxfId="26" headerRowBorderDxfId="25" tableBorderDxfId="24" totalsRowBorderDxfId="23">
  <autoFilter ref="C2:F22" xr:uid="{79678A8C-70DA-4014-B7CA-CBB885D7739A}"/>
  <tableColumns count="4">
    <tableColumn id="1" xr3:uid="{7D8B7C07-74DF-4DD5-BBFE-7480068F836C}" name="Month" dataDxfId="22"/>
    <tableColumn id="2" xr3:uid="{D510BEB1-BF76-4588-A0DE-C62A397EDCEA}" name="Urban Renewables" dataDxfId="21"/>
    <tableColumn id="3" xr3:uid="{C16A4B41-9159-43D1-93B0-59C24820CC08}" name="Green House (KWh)" dataDxfId="20"/>
    <tableColumn id="4" xr3:uid="{188136C7-35DA-4A65-B504-5D2C1DA035C9}" name="Total Solar Energy" dataDxfId="19">
      <calculatedColumnFormula>Table2628[[#This Row],[Urban Renewables]]+Table2628[[#This Row],[Green House (KWh)]]</calculatedColumnFormula>
    </tableColumn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" dT="2024-04-21T08:35:08.45" personId="{54B6183F-060F-4F54-B73E-30A506EDED4C}" id="{B73FCAE9-E8C5-4F28-AE1F-4CE8BA4A016D}">
    <text>RP uses this metered consumption based on SP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2" dT="2024-04-21T08:35:08.45" personId="{54B6183F-060F-4F54-B73E-30A506EDED4C}" id="{C2882657-2B7F-4CEE-B423-D837E6A37E5E}">
    <text>RP uses this metered consumption based on SP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2" dT="2024-04-21T08:35:08.45" personId="{54B6183F-060F-4F54-B73E-30A506EDED4C}" id="{1BEF121E-0F34-4CC6-B8C5-483CECFC85C1}">
    <text>RP uses this metered consumption based on SP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3.vml"/><Relationship Id="rId4" Type="http://schemas.microsoft.com/office/2017/10/relationships/threadedComment" Target="../threadedComments/threadedComment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83A0F-253B-4FB9-B262-9502F0E3ED3C}">
  <sheetPr>
    <tabColor theme="4" tint="0.79998168889431442"/>
  </sheetPr>
  <dimension ref="B1:D21"/>
  <sheetViews>
    <sheetView zoomScaleNormal="100" workbookViewId="0">
      <pane xSplit="3" ySplit="2" topLeftCell="D3" activePane="bottomRight" state="frozen"/>
      <selection pane="topRight" activeCell="D1" sqref="D1"/>
      <selection pane="bottomLeft" activeCell="A5" sqref="A5"/>
      <selection pane="bottomRight" activeCell="D14" sqref="D14"/>
    </sheetView>
  </sheetViews>
  <sheetFormatPr defaultColWidth="8.5703125" defaultRowHeight="15"/>
  <cols>
    <col min="1" max="1" width="2" style="1" customWidth="1"/>
    <col min="2" max="2" width="9.42578125" style="7" customWidth="1"/>
    <col min="3" max="3" width="8.5703125" style="1"/>
    <col min="4" max="4" width="30.85546875" style="1" customWidth="1"/>
    <col min="5" max="16384" width="8.5703125" style="1"/>
  </cols>
  <sheetData>
    <row r="1" spans="2:4" ht="30.95" customHeight="1">
      <c r="C1" s="1" t="s">
        <v>0</v>
      </c>
      <c r="D1" s="9"/>
    </row>
    <row r="2" spans="2:4">
      <c r="C2" s="10" t="s">
        <v>1</v>
      </c>
      <c r="D2" s="11" t="s">
        <v>2</v>
      </c>
    </row>
    <row r="3" spans="2:4">
      <c r="B3" s="18">
        <v>2024</v>
      </c>
      <c r="C3" s="12">
        <v>45292</v>
      </c>
      <c r="D3" s="13">
        <v>1795250.4</v>
      </c>
    </row>
    <row r="4" spans="2:4">
      <c r="C4" s="12">
        <v>45323</v>
      </c>
      <c r="D4" s="13">
        <v>1640248.8</v>
      </c>
    </row>
    <row r="5" spans="2:4">
      <c r="C5" s="12">
        <v>45352</v>
      </c>
      <c r="D5" s="13">
        <v>1564831.2</v>
      </c>
    </row>
    <row r="6" spans="2:4">
      <c r="C6" s="12">
        <v>45383</v>
      </c>
      <c r="D6" s="13">
        <v>1852773.6</v>
      </c>
    </row>
    <row r="7" spans="2:4">
      <c r="C7" s="12">
        <v>45413</v>
      </c>
      <c r="D7" s="13">
        <v>1994755.2</v>
      </c>
    </row>
    <row r="8" spans="2:4">
      <c r="C8" s="12">
        <v>45444</v>
      </c>
      <c r="D8" s="13">
        <v>1581009.6</v>
      </c>
    </row>
    <row r="9" spans="2:4">
      <c r="C9" s="12">
        <v>45474</v>
      </c>
      <c r="D9" s="13">
        <v>1997882.4</v>
      </c>
    </row>
    <row r="10" spans="2:4">
      <c r="C10" s="12">
        <v>45505</v>
      </c>
      <c r="D10" s="13">
        <v>1764319.2</v>
      </c>
    </row>
    <row r="11" spans="2:4">
      <c r="C11" s="12">
        <v>45536</v>
      </c>
      <c r="D11" s="13">
        <v>1543797.6</v>
      </c>
    </row>
    <row r="12" spans="2:4">
      <c r="C12" s="12">
        <v>45566</v>
      </c>
      <c r="D12" s="13">
        <v>1755266.4</v>
      </c>
    </row>
    <row r="13" spans="2:4">
      <c r="C13" s="12">
        <v>45597</v>
      </c>
      <c r="D13" s="13">
        <v>1761640.8</v>
      </c>
    </row>
    <row r="14" spans="2:4">
      <c r="C14" s="12">
        <v>45627</v>
      </c>
      <c r="D14" s="13">
        <v>1520150.4</v>
      </c>
    </row>
    <row r="15" spans="2:4">
      <c r="B15" s="18">
        <v>2025</v>
      </c>
      <c r="C15" s="12">
        <v>45658</v>
      </c>
      <c r="D15" s="13">
        <v>1608321.6</v>
      </c>
    </row>
    <row r="16" spans="2:4">
      <c r="C16" s="12">
        <v>45689</v>
      </c>
      <c r="D16" s="13">
        <v>1509172.8</v>
      </c>
    </row>
    <row r="17" spans="3:4">
      <c r="C17" s="12">
        <v>45717</v>
      </c>
      <c r="D17" s="13">
        <v>1457191.2</v>
      </c>
    </row>
    <row r="18" spans="3:4">
      <c r="C18" s="12">
        <v>45748</v>
      </c>
      <c r="D18" s="13">
        <v>1586059.2</v>
      </c>
    </row>
    <row r="19" spans="3:4">
      <c r="C19" s="12">
        <v>45778</v>
      </c>
      <c r="D19" s="13">
        <v>1824048</v>
      </c>
    </row>
    <row r="20" spans="3:4">
      <c r="C20" s="12">
        <v>45809</v>
      </c>
      <c r="D20" s="13">
        <v>1679752.8</v>
      </c>
    </row>
    <row r="21" spans="3:4">
      <c r="C21" s="12">
        <v>45839</v>
      </c>
      <c r="D21" s="13">
        <v>1940392.8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84357-142C-4FBA-8B31-36A9CE4F75F2}">
  <dimension ref="B3:X31"/>
  <sheetViews>
    <sheetView zoomScale="85" zoomScaleNormal="85" workbookViewId="0">
      <selection activeCell="C5" sqref="C5"/>
    </sheetView>
  </sheetViews>
  <sheetFormatPr defaultRowHeight="15"/>
  <cols>
    <col min="1" max="1" width="4.140625" customWidth="1"/>
    <col min="2" max="2" width="25.140625" customWidth="1"/>
    <col min="3" max="3" width="11.7109375" bestFit="1" customWidth="1"/>
    <col min="4" max="5" width="10.5703125" bestFit="1" customWidth="1"/>
    <col min="6" max="6" width="11.7109375" bestFit="1" customWidth="1"/>
    <col min="7" max="7" width="10.5703125" bestFit="1" customWidth="1"/>
    <col min="8" max="8" width="24.140625" customWidth="1"/>
    <col min="9" max="14" width="10.5703125" bestFit="1" customWidth="1"/>
    <col min="15" max="15" width="17.85546875" bestFit="1" customWidth="1"/>
    <col min="16" max="17" width="10.5703125" bestFit="1" customWidth="1"/>
    <col min="18" max="18" width="18.140625" bestFit="1" customWidth="1"/>
    <col min="19" max="19" width="19" bestFit="1" customWidth="1"/>
    <col min="20" max="20" width="18" bestFit="1" customWidth="1"/>
    <col min="21" max="21" width="16.140625" bestFit="1" customWidth="1"/>
    <col min="22" max="22" width="11.7109375" bestFit="1" customWidth="1"/>
    <col min="23" max="23" width="10.5703125" bestFit="1" customWidth="1"/>
    <col min="24" max="24" width="9.5703125" bestFit="1" customWidth="1"/>
    <col min="25" max="25" width="8.42578125" bestFit="1" customWidth="1"/>
    <col min="26" max="26" width="15.42578125" customWidth="1"/>
  </cols>
  <sheetData>
    <row r="3" spans="2:24">
      <c r="B3" s="5" t="s">
        <v>3</v>
      </c>
      <c r="C3" s="6"/>
    </row>
    <row r="4" spans="2:24">
      <c r="B4" s="4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</row>
    <row r="5" spans="2:24">
      <c r="B5" s="4" t="s">
        <v>27</v>
      </c>
      <c r="C5" s="2">
        <v>462871</v>
      </c>
      <c r="D5" s="2">
        <v>56999</v>
      </c>
      <c r="E5" s="2">
        <v>68134</v>
      </c>
      <c r="F5" s="2">
        <v>106671</v>
      </c>
      <c r="G5" s="2">
        <v>35485</v>
      </c>
      <c r="H5" s="2">
        <v>59736</v>
      </c>
      <c r="I5" s="2">
        <v>59561</v>
      </c>
      <c r="J5" s="2">
        <v>75432</v>
      </c>
      <c r="K5" s="2">
        <v>31362</v>
      </c>
      <c r="L5" s="2">
        <v>31534</v>
      </c>
      <c r="M5" s="2">
        <v>69740</v>
      </c>
      <c r="N5" s="2">
        <v>41510</v>
      </c>
      <c r="O5" s="2">
        <v>81761</v>
      </c>
      <c r="P5" s="2">
        <v>46021</v>
      </c>
      <c r="Q5" s="2">
        <v>54382</v>
      </c>
      <c r="R5" s="2">
        <v>61506</v>
      </c>
      <c r="S5" s="2">
        <v>22656</v>
      </c>
      <c r="T5" s="2">
        <v>9577</v>
      </c>
      <c r="U5" s="2">
        <v>137564</v>
      </c>
      <c r="V5" s="2">
        <v>43467</v>
      </c>
      <c r="W5" s="2">
        <v>1401</v>
      </c>
      <c r="X5" s="2">
        <v>603</v>
      </c>
    </row>
    <row r="6" spans="2:24">
      <c r="B6" s="4" t="s">
        <v>28</v>
      </c>
      <c r="C6" s="3">
        <v>449967</v>
      </c>
      <c r="D6" s="3">
        <v>52535</v>
      </c>
      <c r="E6" s="3">
        <v>74824</v>
      </c>
      <c r="F6" s="3">
        <v>95093</v>
      </c>
      <c r="G6" s="3">
        <v>29709</v>
      </c>
      <c r="H6" s="3">
        <v>57444</v>
      </c>
      <c r="I6" s="3">
        <v>53512</v>
      </c>
      <c r="J6" s="3">
        <v>69966</v>
      </c>
      <c r="K6" s="2">
        <v>28079</v>
      </c>
      <c r="L6" s="2">
        <v>28039</v>
      </c>
      <c r="M6" s="2">
        <v>66465</v>
      </c>
      <c r="N6" s="2">
        <v>36954</v>
      </c>
      <c r="O6" s="2">
        <v>72867</v>
      </c>
      <c r="P6" s="2">
        <v>47606</v>
      </c>
      <c r="Q6" s="2">
        <v>46806</v>
      </c>
      <c r="R6" s="2">
        <v>56786</v>
      </c>
      <c r="S6" s="2">
        <v>19153</v>
      </c>
      <c r="T6" s="2">
        <v>11713</v>
      </c>
      <c r="U6" s="2">
        <v>133434</v>
      </c>
      <c r="V6" s="2">
        <v>51394</v>
      </c>
      <c r="W6" s="2">
        <v>755</v>
      </c>
      <c r="X6" s="2">
        <v>562</v>
      </c>
    </row>
    <row r="7" spans="2:24">
      <c r="B7" s="4" t="s">
        <v>29</v>
      </c>
      <c r="C7" s="3">
        <v>407459</v>
      </c>
      <c r="D7" s="3">
        <v>54778</v>
      </c>
      <c r="E7" s="3">
        <v>75158</v>
      </c>
      <c r="F7" s="3">
        <v>94464</v>
      </c>
      <c r="G7" s="3">
        <v>25296</v>
      </c>
      <c r="H7" s="3">
        <v>50618</v>
      </c>
      <c r="I7" s="3">
        <v>51341</v>
      </c>
      <c r="J7" s="3">
        <v>69204</v>
      </c>
      <c r="K7" s="2">
        <v>22544</v>
      </c>
      <c r="L7" s="2">
        <v>25205</v>
      </c>
      <c r="M7" s="2">
        <v>68173</v>
      </c>
      <c r="N7" s="2">
        <v>34576</v>
      </c>
      <c r="O7" s="2">
        <v>65679</v>
      </c>
      <c r="P7" s="2">
        <v>46256</v>
      </c>
      <c r="Q7" s="2">
        <v>36624</v>
      </c>
      <c r="R7" s="2">
        <v>50921</v>
      </c>
      <c r="S7" s="2">
        <v>22481</v>
      </c>
      <c r="T7" s="2">
        <v>12545</v>
      </c>
      <c r="U7" s="2">
        <v>147015</v>
      </c>
      <c r="V7" s="2">
        <v>48728</v>
      </c>
      <c r="W7" s="2">
        <v>1096</v>
      </c>
      <c r="X7" s="2">
        <v>625</v>
      </c>
    </row>
    <row r="8" spans="2:24">
      <c r="B8" s="4" t="s">
        <v>30</v>
      </c>
      <c r="C8" s="3">
        <v>545707</v>
      </c>
      <c r="D8" s="3">
        <v>59655</v>
      </c>
      <c r="E8" s="3">
        <v>87359</v>
      </c>
      <c r="F8" s="3">
        <v>106431</v>
      </c>
      <c r="G8" s="3">
        <v>33337</v>
      </c>
      <c r="H8" s="3">
        <v>59635</v>
      </c>
      <c r="I8" s="3">
        <v>59920</v>
      </c>
      <c r="J8" s="3">
        <v>75248</v>
      </c>
      <c r="K8" s="2">
        <v>29657</v>
      </c>
      <c r="L8" s="2">
        <v>30644</v>
      </c>
      <c r="M8" s="2">
        <v>72751</v>
      </c>
      <c r="N8" s="2">
        <v>42270</v>
      </c>
      <c r="O8" s="2">
        <v>81395</v>
      </c>
      <c r="P8" s="2">
        <v>54437</v>
      </c>
      <c r="Q8" s="2">
        <v>52775</v>
      </c>
      <c r="R8" s="2">
        <v>62275</v>
      </c>
      <c r="S8" s="2">
        <v>23913</v>
      </c>
      <c r="T8" s="2">
        <v>12566</v>
      </c>
      <c r="U8" s="2">
        <v>140046</v>
      </c>
      <c r="V8" s="2">
        <v>47949</v>
      </c>
      <c r="W8" s="2">
        <v>1004</v>
      </c>
      <c r="X8" s="2">
        <v>636</v>
      </c>
    </row>
    <row r="9" spans="2:24">
      <c r="B9" s="4" t="s">
        <v>31</v>
      </c>
      <c r="C9" s="3">
        <v>565550</v>
      </c>
      <c r="D9" s="3">
        <v>59051</v>
      </c>
      <c r="E9" s="3">
        <v>92516</v>
      </c>
      <c r="F9" s="3">
        <v>109194</v>
      </c>
      <c r="G9" s="3">
        <v>33754</v>
      </c>
      <c r="H9" s="3">
        <v>61428</v>
      </c>
      <c r="I9" s="3">
        <v>60953</v>
      </c>
      <c r="J9" s="3">
        <v>73672</v>
      </c>
      <c r="K9" s="2">
        <v>34353</v>
      </c>
      <c r="L9" s="2">
        <v>31351</v>
      </c>
      <c r="M9" s="2">
        <v>72789</v>
      </c>
      <c r="N9" s="2">
        <v>48498</v>
      </c>
      <c r="O9" s="2">
        <v>89470</v>
      </c>
      <c r="P9" s="2">
        <v>56833</v>
      </c>
      <c r="Q9" s="2">
        <v>62867</v>
      </c>
      <c r="R9" s="2">
        <v>63149</v>
      </c>
      <c r="S9" s="2">
        <v>25677</v>
      </c>
      <c r="T9" s="2">
        <v>11875</v>
      </c>
      <c r="U9" s="2">
        <v>150095</v>
      </c>
      <c r="V9" s="2">
        <v>52472</v>
      </c>
      <c r="W9" s="2">
        <v>1193</v>
      </c>
      <c r="X9" s="2">
        <v>604</v>
      </c>
    </row>
    <row r="10" spans="2:24">
      <c r="B10" s="4" t="s">
        <v>32</v>
      </c>
      <c r="C10" s="3">
        <v>428747</v>
      </c>
      <c r="D10" s="3">
        <v>52216</v>
      </c>
      <c r="E10" s="3">
        <v>80928</v>
      </c>
      <c r="F10" s="3">
        <v>96367</v>
      </c>
      <c r="G10" s="3">
        <v>25720</v>
      </c>
      <c r="H10" s="3">
        <v>52744</v>
      </c>
      <c r="I10" s="3">
        <v>54496</v>
      </c>
      <c r="J10" s="3">
        <v>67750</v>
      </c>
      <c r="K10" s="2">
        <v>25600</v>
      </c>
      <c r="L10" s="2">
        <v>24219</v>
      </c>
      <c r="M10" s="2">
        <v>67337</v>
      </c>
      <c r="N10" s="2">
        <v>37237</v>
      </c>
      <c r="O10" s="2">
        <v>68921</v>
      </c>
      <c r="P10" s="2">
        <v>46503</v>
      </c>
      <c r="Q10" s="2">
        <v>44823</v>
      </c>
      <c r="R10" s="2">
        <v>54195</v>
      </c>
      <c r="S10" s="2">
        <v>20485</v>
      </c>
      <c r="T10" s="2">
        <v>9074</v>
      </c>
      <c r="U10" s="2">
        <v>145412</v>
      </c>
      <c r="V10" s="2">
        <v>49979</v>
      </c>
      <c r="W10" s="2">
        <v>646</v>
      </c>
      <c r="X10" s="2">
        <v>588</v>
      </c>
    </row>
    <row r="11" spans="2:24">
      <c r="B11" s="4" t="s">
        <v>33</v>
      </c>
      <c r="C11" s="3">
        <v>565024</v>
      </c>
      <c r="D11" s="3">
        <v>62648</v>
      </c>
      <c r="E11" s="3">
        <v>88811</v>
      </c>
      <c r="F11" s="3">
        <v>115912</v>
      </c>
      <c r="G11" s="3">
        <v>35690</v>
      </c>
      <c r="H11" s="3">
        <v>64838</v>
      </c>
      <c r="I11" s="3">
        <v>61988</v>
      </c>
      <c r="J11" s="3">
        <v>75655</v>
      </c>
      <c r="K11" s="2">
        <v>34587</v>
      </c>
      <c r="L11" s="2">
        <v>37557</v>
      </c>
      <c r="M11" s="2">
        <v>82370</v>
      </c>
      <c r="N11" s="2">
        <v>48516</v>
      </c>
      <c r="O11" s="2">
        <v>93744</v>
      </c>
      <c r="P11" s="2">
        <v>57422</v>
      </c>
      <c r="Q11" s="2">
        <v>66734</v>
      </c>
      <c r="R11" s="2">
        <v>64743</v>
      </c>
      <c r="S11" s="2">
        <v>26344</v>
      </c>
      <c r="T11" s="2">
        <v>10022</v>
      </c>
      <c r="U11" s="2">
        <v>150524</v>
      </c>
      <c r="V11" s="2">
        <v>52583</v>
      </c>
      <c r="W11" s="2">
        <v>1197</v>
      </c>
      <c r="X11" s="2">
        <v>538</v>
      </c>
    </row>
    <row r="12" spans="2:24">
      <c r="B12" s="4" t="s">
        <v>34</v>
      </c>
      <c r="C12" s="3">
        <v>493996</v>
      </c>
      <c r="D12" s="3">
        <v>57889</v>
      </c>
      <c r="E12" s="3">
        <v>81203</v>
      </c>
      <c r="F12" s="3">
        <v>109923</v>
      </c>
      <c r="G12" s="3">
        <v>28918</v>
      </c>
      <c r="H12" s="3">
        <v>61176</v>
      </c>
      <c r="I12" s="3">
        <v>59458</v>
      </c>
      <c r="J12" s="3">
        <v>72113</v>
      </c>
      <c r="K12" s="2">
        <v>29626</v>
      </c>
      <c r="L12" s="2">
        <v>29524</v>
      </c>
      <c r="M12" s="2">
        <v>69345</v>
      </c>
      <c r="N12" s="2">
        <v>40865</v>
      </c>
      <c r="O12" s="2">
        <v>83856</v>
      </c>
      <c r="P12" s="2">
        <v>53681</v>
      </c>
      <c r="Q12" s="2">
        <v>53562</v>
      </c>
      <c r="R12" s="2">
        <v>52200</v>
      </c>
      <c r="S12" s="2">
        <v>22037</v>
      </c>
      <c r="T12" s="2">
        <v>10394</v>
      </c>
      <c r="U12" s="2">
        <v>146787</v>
      </c>
      <c r="V12" s="2">
        <v>48787</v>
      </c>
      <c r="W12" s="2">
        <v>932</v>
      </c>
      <c r="X12" s="2">
        <v>511</v>
      </c>
    </row>
    <row r="13" spans="2:24">
      <c r="B13" s="4" t="s">
        <v>35</v>
      </c>
      <c r="C13" s="3">
        <v>406172</v>
      </c>
      <c r="D13" s="3">
        <v>51831</v>
      </c>
      <c r="E13" s="3">
        <v>80843</v>
      </c>
      <c r="F13" s="3">
        <v>92104</v>
      </c>
      <c r="G13" s="3">
        <v>23978</v>
      </c>
      <c r="H13" s="3">
        <v>51038</v>
      </c>
      <c r="I13" s="3">
        <v>53274</v>
      </c>
      <c r="J13" s="3">
        <v>61284</v>
      </c>
      <c r="K13" s="2">
        <v>22096</v>
      </c>
      <c r="L13" s="2">
        <v>23230</v>
      </c>
      <c r="M13" s="2">
        <v>63733</v>
      </c>
      <c r="N13" s="2">
        <v>31353</v>
      </c>
      <c r="O13" s="2">
        <v>62258</v>
      </c>
      <c r="P13" s="2">
        <v>43896</v>
      </c>
      <c r="Q13" s="2">
        <v>40082</v>
      </c>
      <c r="R13" s="2">
        <v>51943</v>
      </c>
      <c r="S13" s="2">
        <v>19593</v>
      </c>
      <c r="T13" s="2">
        <v>10173</v>
      </c>
      <c r="U13" s="2">
        <v>131423</v>
      </c>
      <c r="V13" s="2">
        <v>45961</v>
      </c>
      <c r="W13" s="2">
        <v>892</v>
      </c>
      <c r="X13" s="2">
        <v>473</v>
      </c>
    </row>
    <row r="14" spans="2:24">
      <c r="B14" s="4" t="s">
        <v>36</v>
      </c>
      <c r="C14" s="3">
        <v>453847</v>
      </c>
      <c r="D14" s="3">
        <v>56237</v>
      </c>
      <c r="E14" s="3">
        <v>97568</v>
      </c>
      <c r="F14" s="3">
        <v>104274</v>
      </c>
      <c r="G14" s="3">
        <v>31016</v>
      </c>
      <c r="H14" s="3">
        <v>58076</v>
      </c>
      <c r="I14" s="3">
        <v>63576</v>
      </c>
      <c r="J14" s="3">
        <v>65523</v>
      </c>
      <c r="K14" s="2">
        <v>28169</v>
      </c>
      <c r="L14" s="2">
        <v>30164</v>
      </c>
      <c r="M14" s="2">
        <v>78054</v>
      </c>
      <c r="N14" s="2">
        <v>41273</v>
      </c>
      <c r="O14" s="2">
        <v>82259</v>
      </c>
      <c r="P14" s="2">
        <v>55629</v>
      </c>
      <c r="Q14" s="2">
        <v>54504</v>
      </c>
      <c r="R14" s="2">
        <v>58946</v>
      </c>
      <c r="S14" s="2">
        <v>23509</v>
      </c>
      <c r="T14" s="2">
        <v>13729</v>
      </c>
      <c r="U14" s="2">
        <v>134031</v>
      </c>
      <c r="V14" s="2">
        <v>48376</v>
      </c>
      <c r="W14" s="2">
        <v>993</v>
      </c>
      <c r="X14" s="2">
        <v>532</v>
      </c>
    </row>
    <row r="15" spans="2:24">
      <c r="B15" s="4" t="s">
        <v>37</v>
      </c>
      <c r="C15" s="3">
        <v>490826</v>
      </c>
      <c r="D15" s="3">
        <v>57990</v>
      </c>
      <c r="E15" s="3">
        <v>97918</v>
      </c>
      <c r="F15" s="3">
        <v>105891</v>
      </c>
      <c r="G15" s="3">
        <v>32951</v>
      </c>
      <c r="H15" s="3">
        <v>62101</v>
      </c>
      <c r="I15" s="3">
        <v>67272</v>
      </c>
      <c r="J15" s="3">
        <v>68017</v>
      </c>
      <c r="K15" s="2">
        <v>32036</v>
      </c>
      <c r="L15" s="2">
        <v>34183</v>
      </c>
      <c r="M15" s="2">
        <v>79346</v>
      </c>
      <c r="N15" s="2">
        <v>45431</v>
      </c>
      <c r="O15" s="2">
        <v>85547</v>
      </c>
      <c r="P15" s="2">
        <v>58551</v>
      </c>
      <c r="Q15" s="2">
        <v>56859</v>
      </c>
      <c r="R15" s="2">
        <v>59938</v>
      </c>
      <c r="S15" s="2">
        <v>22159</v>
      </c>
      <c r="T15" s="2">
        <v>12278</v>
      </c>
      <c r="U15" s="2">
        <v>116859</v>
      </c>
      <c r="V15" s="2">
        <v>45267</v>
      </c>
      <c r="W15" s="2">
        <v>1542</v>
      </c>
      <c r="X15" s="2">
        <v>394</v>
      </c>
    </row>
    <row r="16" spans="2:24">
      <c r="B16" s="4" t="s">
        <v>38</v>
      </c>
      <c r="C16" s="3">
        <v>409305.21444444399</v>
      </c>
      <c r="D16" s="3">
        <v>49441.629000000074</v>
      </c>
      <c r="E16" s="3">
        <v>91089.370999999926</v>
      </c>
      <c r="F16" s="3">
        <v>91566.480000000214</v>
      </c>
      <c r="G16" s="3">
        <v>25992.834000000075</v>
      </c>
      <c r="H16" s="3">
        <v>52492.714000000618</v>
      </c>
      <c r="I16" s="3">
        <v>60848.353000000119</v>
      </c>
      <c r="J16" s="3">
        <v>61320.970000000205</v>
      </c>
      <c r="K16" s="2">
        <v>24538.47099999967</v>
      </c>
      <c r="L16" s="2">
        <v>25476.447000000044</v>
      </c>
      <c r="M16" s="2">
        <v>73828.701999999816</v>
      </c>
      <c r="N16" s="2">
        <v>35665.483000000007</v>
      </c>
      <c r="O16" s="2">
        <v>68214.92799999984</v>
      </c>
      <c r="P16" s="2">
        <v>51664.810000000056</v>
      </c>
      <c r="Q16" s="2">
        <v>40364.075999999768</v>
      </c>
      <c r="R16" s="2">
        <v>56341.596000000136</v>
      </c>
      <c r="S16" s="2">
        <v>20955.820000000065</v>
      </c>
      <c r="T16" s="2">
        <v>17296</v>
      </c>
      <c r="U16" s="2">
        <v>109219.2400000013</v>
      </c>
      <c r="V16" s="2">
        <v>44715.560000000376</v>
      </c>
      <c r="W16" s="2">
        <v>984.25999999999817</v>
      </c>
      <c r="X16" s="2">
        <v>273.31999999999971</v>
      </c>
    </row>
    <row r="18" spans="2:24">
      <c r="B18" s="5" t="s">
        <v>39</v>
      </c>
      <c r="C18" s="6"/>
    </row>
    <row r="19" spans="2:24">
      <c r="B19" s="4" t="s">
        <v>4</v>
      </c>
      <c r="C19" s="1" t="s">
        <v>5</v>
      </c>
      <c r="D19" s="1" t="s">
        <v>6</v>
      </c>
      <c r="E19" s="1" t="s">
        <v>7</v>
      </c>
      <c r="F19" s="1" t="s">
        <v>8</v>
      </c>
      <c r="G19" s="1" t="s">
        <v>9</v>
      </c>
      <c r="H19" s="1" t="s">
        <v>10</v>
      </c>
      <c r="I19" s="1" t="s">
        <v>11</v>
      </c>
      <c r="J19" s="1" t="s">
        <v>12</v>
      </c>
      <c r="K19" s="1" t="s">
        <v>13</v>
      </c>
      <c r="L19" s="1" t="s">
        <v>14</v>
      </c>
      <c r="M19" s="1" t="s">
        <v>15</v>
      </c>
      <c r="N19" s="1" t="s">
        <v>16</v>
      </c>
      <c r="O19" s="1" t="s">
        <v>17</v>
      </c>
      <c r="P19" s="1" t="s">
        <v>18</v>
      </c>
      <c r="Q19" s="1" t="s">
        <v>19</v>
      </c>
      <c r="R19" s="1" t="s">
        <v>20</v>
      </c>
      <c r="S19" s="1" t="s">
        <v>21</v>
      </c>
      <c r="T19" s="1" t="s">
        <v>22</v>
      </c>
      <c r="U19" s="1" t="s">
        <v>23</v>
      </c>
      <c r="V19" s="1" t="s">
        <v>24</v>
      </c>
      <c r="W19" s="1" t="s">
        <v>25</v>
      </c>
      <c r="X19" s="1" t="s">
        <v>26</v>
      </c>
    </row>
    <row r="20" spans="2:24">
      <c r="B20" s="4" t="s">
        <v>27</v>
      </c>
      <c r="C20" s="2">
        <v>390393.32518518483</v>
      </c>
      <c r="D20" s="2">
        <v>50631.779999999213</v>
      </c>
      <c r="E20" s="2">
        <v>74464.220000000787</v>
      </c>
      <c r="F20" s="2">
        <v>99738.797999999486</v>
      </c>
      <c r="G20" s="2">
        <v>32286.204000000187</v>
      </c>
      <c r="H20" s="2">
        <v>55259.715999999549</v>
      </c>
      <c r="I20" s="2">
        <v>61005.969999999739</v>
      </c>
      <c r="J20" s="2">
        <v>64595.357999999775</v>
      </c>
      <c r="K20" s="2">
        <v>33787.105999999912</v>
      </c>
      <c r="L20" s="2">
        <v>31824.480000000331</v>
      </c>
      <c r="M20" s="2">
        <v>72516.959999999963</v>
      </c>
      <c r="N20" s="2">
        <v>41502.52099999995</v>
      </c>
      <c r="O20" s="2">
        <v>78627.780000000028</v>
      </c>
      <c r="P20" s="2">
        <v>52527.90000000014</v>
      </c>
      <c r="Q20" s="2">
        <v>51834.469999999506</v>
      </c>
      <c r="R20" s="2">
        <v>55087.439999999828</v>
      </c>
      <c r="S20" s="2">
        <v>21688.630000000005</v>
      </c>
      <c r="T20" s="2">
        <v>14290.959999999963</v>
      </c>
      <c r="U20" s="2">
        <v>99387.739999999627</v>
      </c>
      <c r="V20" s="2">
        <v>45730.36</v>
      </c>
      <c r="W20" s="2">
        <v>1059.9499999999996</v>
      </c>
      <c r="X20" s="2">
        <v>224.15000000000146</v>
      </c>
    </row>
    <row r="21" spans="2:24">
      <c r="B21" s="4" t="s">
        <v>28</v>
      </c>
      <c r="C21" s="3">
        <v>406863.72604938247</v>
      </c>
      <c r="D21" s="3">
        <v>50662.565000000643</v>
      </c>
      <c r="E21" s="3">
        <v>73249.434999999357</v>
      </c>
      <c r="F21" s="3">
        <v>93217.91100000008</v>
      </c>
      <c r="G21" s="3">
        <v>27742.98299999976</v>
      </c>
      <c r="H21" s="3">
        <v>55943.328999999445</v>
      </c>
      <c r="I21" s="3">
        <v>53480.163000000641</v>
      </c>
      <c r="J21" s="3">
        <v>56883.690000000177</v>
      </c>
      <c r="K21" s="2">
        <v>31569.306000000099</v>
      </c>
      <c r="L21" s="2">
        <v>32136.203999999794</v>
      </c>
      <c r="M21" s="2">
        <v>71555.686999999918</v>
      </c>
      <c r="N21" s="2">
        <v>39481.38599999994</v>
      </c>
      <c r="O21" s="2">
        <v>76519.716000000248</v>
      </c>
      <c r="P21" s="2">
        <v>48462.066999999923</v>
      </c>
      <c r="Q21" s="2">
        <v>48656.817000000272</v>
      </c>
      <c r="R21" s="2">
        <v>51912.159000000218</v>
      </c>
      <c r="S21" s="2">
        <v>19813.949999999953</v>
      </c>
      <c r="T21" s="2">
        <v>14241.520000000019</v>
      </c>
      <c r="U21" s="2">
        <v>92363.919999998863</v>
      </c>
      <c r="V21" s="2">
        <v>43861.080000000205</v>
      </c>
      <c r="W21" s="2">
        <v>956.37999999999647</v>
      </c>
      <c r="X21" s="2">
        <v>249.72000000000116</v>
      </c>
    </row>
    <row r="22" spans="2:24">
      <c r="B22" s="4" t="s">
        <v>29</v>
      </c>
      <c r="C22" s="3">
        <v>372881.77205761179</v>
      </c>
      <c r="D22" s="3">
        <v>53289.68899999978</v>
      </c>
      <c r="E22" s="3">
        <v>81953.31100000022</v>
      </c>
      <c r="F22" s="3">
        <v>91685.839999999851</v>
      </c>
      <c r="G22" s="3">
        <v>25439.914000000354</v>
      </c>
      <c r="H22" s="3">
        <v>47549.353000001051</v>
      </c>
      <c r="I22" s="3">
        <v>54121.849999999627</v>
      </c>
      <c r="J22" s="3">
        <v>57436.08499999973</v>
      </c>
      <c r="K22" s="2">
        <v>26868.282000000123</v>
      </c>
      <c r="L22" s="2">
        <v>26341.779000000097</v>
      </c>
      <c r="M22" s="2">
        <v>69452.837999999756</v>
      </c>
      <c r="N22" s="2">
        <v>37479.359000000171</v>
      </c>
      <c r="O22" s="2">
        <v>70671.953999999678</v>
      </c>
      <c r="P22" s="2">
        <v>47076.538999999757</v>
      </c>
      <c r="Q22" s="2">
        <v>37709.582999999984</v>
      </c>
      <c r="R22" s="2">
        <v>56619.663000000175</v>
      </c>
      <c r="S22" s="2">
        <v>22542.790000000037</v>
      </c>
      <c r="T22" s="2">
        <v>16887.520000000019</v>
      </c>
      <c r="U22" s="2">
        <v>98587.080000000744</v>
      </c>
      <c r="V22" s="2">
        <v>48133.72</v>
      </c>
      <c r="W22" s="2">
        <v>1147.6100000000006</v>
      </c>
      <c r="X22" s="2">
        <v>266.48999999999796</v>
      </c>
    </row>
    <row r="23" spans="2:24">
      <c r="B23" s="4" t="s">
        <v>30</v>
      </c>
      <c r="C23" s="3">
        <v>415335.00906721706</v>
      </c>
      <c r="D23" s="3">
        <v>57470.817999999621</v>
      </c>
      <c r="E23" s="3">
        <v>77166.182000000379</v>
      </c>
      <c r="F23" s="3">
        <v>96191.472999999998</v>
      </c>
      <c r="G23" s="3">
        <v>31607.922999999631</v>
      </c>
      <c r="H23" s="3">
        <v>54270.68499999959</v>
      </c>
      <c r="I23" s="3">
        <v>56490.924000000115</v>
      </c>
      <c r="J23" s="3">
        <v>58803.126000000164</v>
      </c>
      <c r="K23" s="2">
        <v>30282.450000000186</v>
      </c>
      <c r="L23" s="2">
        <v>30187.382999999798</v>
      </c>
      <c r="M23" s="2">
        <v>75572.710000000196</v>
      </c>
      <c r="N23" s="2">
        <v>42624.790999999968</v>
      </c>
      <c r="O23" s="2">
        <v>78064.862999999896</v>
      </c>
      <c r="P23" s="2">
        <v>51514.123999999953</v>
      </c>
      <c r="Q23" s="2">
        <v>48274.778000000282</v>
      </c>
      <c r="R23" s="2">
        <v>56634.66399999999</v>
      </c>
      <c r="S23" s="2">
        <v>20361.059999999939</v>
      </c>
      <c r="T23" s="2">
        <v>16398.959999999963</v>
      </c>
      <c r="U23" s="2">
        <v>93455.880000000761</v>
      </c>
      <c r="V23" s="2">
        <v>46117.319999999425</v>
      </c>
      <c r="W23" s="2">
        <v>1008.2000000000006</v>
      </c>
      <c r="X23" s="2">
        <v>105.2699999999968</v>
      </c>
    </row>
    <row r="24" spans="2:24">
      <c r="B24" s="4" t="s">
        <v>31</v>
      </c>
      <c r="C24" s="3">
        <v>496705.52057841723</v>
      </c>
      <c r="D24" s="3">
        <v>62709.659000000218</v>
      </c>
      <c r="E24" s="3">
        <v>86846.240999999689</v>
      </c>
      <c r="F24" s="3">
        <v>107402.69000000041</v>
      </c>
      <c r="G24" s="3">
        <v>36681.268000000186</v>
      </c>
      <c r="H24" s="3">
        <v>66072.50400000019</v>
      </c>
      <c r="I24" s="3">
        <v>63354.387000000104</v>
      </c>
      <c r="J24" s="3">
        <v>66286.038999999873</v>
      </c>
      <c r="K24" s="2">
        <v>36121.420999999624</v>
      </c>
      <c r="L24" s="2">
        <v>36899.286000000197</v>
      </c>
      <c r="M24" s="2">
        <v>86113.203999999911</v>
      </c>
      <c r="N24" s="2">
        <v>50636.483999999706</v>
      </c>
      <c r="O24" s="2">
        <v>89946.1800000004</v>
      </c>
      <c r="P24" s="2">
        <v>57227.817999999854</v>
      </c>
      <c r="Q24" s="2">
        <v>62988.108999999706</v>
      </c>
      <c r="R24" s="2">
        <v>59019.023999999976</v>
      </c>
      <c r="S24" s="2">
        <v>25601.989999999991</v>
      </c>
      <c r="T24" s="2">
        <v>20732</v>
      </c>
      <c r="U24" s="2">
        <v>108540.4399999989</v>
      </c>
      <c r="V24" s="2">
        <v>52797.460000000538</v>
      </c>
      <c r="W24" s="2">
        <v>1067.7099999999998</v>
      </c>
      <c r="X24" s="2">
        <v>50.310000000004948</v>
      </c>
    </row>
    <row r="25" spans="2:24">
      <c r="B25" s="4" t="s">
        <v>32</v>
      </c>
      <c r="C25" s="3">
        <v>476147.71123037662</v>
      </c>
      <c r="D25" s="3">
        <v>57174.67600000021</v>
      </c>
      <c r="E25" s="3">
        <v>74832.32399999979</v>
      </c>
      <c r="F25" s="3">
        <v>100680.77099999995</v>
      </c>
      <c r="G25" s="3">
        <v>33168.376000000135</v>
      </c>
      <c r="H25" s="3">
        <v>62314.825999999885</v>
      </c>
      <c r="I25" s="3">
        <v>59557.498999999836</v>
      </c>
      <c r="J25" s="3">
        <v>61871.629999999888</v>
      </c>
      <c r="K25" s="2">
        <v>31464.215000000317</v>
      </c>
      <c r="L25" s="2">
        <v>30573.942000000039</v>
      </c>
      <c r="M25" s="2">
        <v>80476.033999999985</v>
      </c>
      <c r="N25" s="2">
        <v>47374.212000000058</v>
      </c>
      <c r="O25" s="2">
        <v>79290.521999999881</v>
      </c>
      <c r="P25" s="2">
        <v>53847.336000000243</v>
      </c>
      <c r="Q25" s="2">
        <v>54094.342999999993</v>
      </c>
      <c r="R25" s="2">
        <v>58257.675999999861</v>
      </c>
      <c r="S25" s="2">
        <v>25437.839999999967</v>
      </c>
      <c r="T25" s="2">
        <v>21101.520000000019</v>
      </c>
      <c r="U25" s="2">
        <v>102131.19999999925</v>
      </c>
      <c r="V25" s="2">
        <v>50157.099999999627</v>
      </c>
      <c r="W25" s="2">
        <v>750.83999999999821</v>
      </c>
      <c r="X25" s="2">
        <v>18.69999999999709</v>
      </c>
    </row>
    <row r="26" spans="2:24">
      <c r="B26" s="4" t="s">
        <v>33</v>
      </c>
      <c r="C26" s="3">
        <v>531020.52236136538</v>
      </c>
      <c r="D26" s="3">
        <v>68032.372999999672</v>
      </c>
      <c r="E26" s="3">
        <v>82393.627000000328</v>
      </c>
      <c r="F26" s="3">
        <v>115645.77799999993</v>
      </c>
      <c r="G26" s="3">
        <v>39612.784999999756</v>
      </c>
      <c r="H26" s="3">
        <v>69138.437999999616</v>
      </c>
      <c r="I26" s="3">
        <v>65840.302000000142</v>
      </c>
      <c r="J26" s="3">
        <v>68962.781000000192</v>
      </c>
      <c r="K26" s="2">
        <v>40338.330000000075</v>
      </c>
      <c r="L26" s="2">
        <v>38278.444999999949</v>
      </c>
      <c r="M26" s="2">
        <v>89256.287000000477</v>
      </c>
      <c r="N26" s="2">
        <v>51949.888999999966</v>
      </c>
      <c r="O26" s="2">
        <v>91738.37099999981</v>
      </c>
      <c r="P26" s="2">
        <v>63963.23499999987</v>
      </c>
      <c r="Q26" s="2">
        <v>71127.467000000528</v>
      </c>
      <c r="R26" s="2">
        <v>67906.793000000063</v>
      </c>
      <c r="S26" s="2">
        <v>27556.120000000112</v>
      </c>
      <c r="T26" s="2">
        <v>21418</v>
      </c>
      <c r="U26" s="2">
        <v>116120.52000000165</v>
      </c>
      <c r="V26" s="2">
        <v>55241.079999999842</v>
      </c>
      <c r="W26" s="2">
        <v>1430.5500000000052</v>
      </c>
      <c r="X26" s="2">
        <v>135.91000000000349</v>
      </c>
    </row>
    <row r="27" spans="2:24">
      <c r="B27" s="4" t="s">
        <v>34</v>
      </c>
      <c r="C27" s="3">
        <v>435929.54022406199</v>
      </c>
      <c r="D27" s="3">
        <v>60850.133000000613</v>
      </c>
      <c r="E27" s="3">
        <v>71179.866999999387</v>
      </c>
      <c r="F27" s="3">
        <v>98377.714000000153</v>
      </c>
      <c r="G27" s="3">
        <v>31329.721999999994</v>
      </c>
      <c r="H27" s="3">
        <v>66289.024000000674</v>
      </c>
      <c r="I27" s="3">
        <v>56374.705000000075</v>
      </c>
      <c r="J27" s="3">
        <v>67592.381000000285</v>
      </c>
      <c r="K27" s="2">
        <v>33064.456999999704</v>
      </c>
      <c r="L27" s="2">
        <v>32878.015999999829</v>
      </c>
      <c r="M27" s="2">
        <v>80825.783999999752</v>
      </c>
      <c r="N27" s="2">
        <v>44482.283000000287</v>
      </c>
      <c r="O27" s="2">
        <v>78228.52900000033</v>
      </c>
      <c r="P27" s="2">
        <v>55413.76100000029</v>
      </c>
      <c r="Q27" s="2">
        <v>54398.148999999743</v>
      </c>
      <c r="R27" s="2">
        <v>61150.41799999983</v>
      </c>
      <c r="S27" s="2">
        <v>20999.179999999935</v>
      </c>
      <c r="T27" s="2">
        <v>21188.479999999981</v>
      </c>
      <c r="U27" s="2">
        <v>98186.819999999658</v>
      </c>
      <c r="V27" s="2">
        <v>50587.880000000536</v>
      </c>
      <c r="W27" s="2">
        <v>1173.0599999999986</v>
      </c>
      <c r="X27" s="2">
        <v>197.97999999999593</v>
      </c>
    </row>
    <row r="28" spans="2:24">
      <c r="B28" s="4" t="s">
        <v>35</v>
      </c>
      <c r="C28" s="3"/>
      <c r="D28" s="3"/>
      <c r="E28" s="3"/>
      <c r="F28" s="3"/>
      <c r="G28" s="3"/>
      <c r="H28" s="3"/>
      <c r="I28" s="3"/>
      <c r="J28" s="3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2:24">
      <c r="B29" s="4" t="s">
        <v>36</v>
      </c>
      <c r="C29" s="3"/>
      <c r="D29" s="3"/>
      <c r="E29" s="3"/>
      <c r="F29" s="3"/>
      <c r="G29" s="3"/>
      <c r="H29" s="3"/>
      <c r="I29" s="3"/>
      <c r="J29" s="3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2:24">
      <c r="B30" s="4" t="s">
        <v>37</v>
      </c>
      <c r="C30" s="3"/>
      <c r="D30" s="3"/>
      <c r="E30" s="3"/>
      <c r="F30" s="3"/>
      <c r="G30" s="3"/>
      <c r="H30" s="3"/>
      <c r="I30" s="3"/>
      <c r="J30" s="3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2:24">
      <c r="B31" s="4" t="s">
        <v>38</v>
      </c>
      <c r="C31" s="3"/>
      <c r="D31" s="3"/>
      <c r="E31" s="3"/>
      <c r="F31" s="3"/>
      <c r="G31" s="3"/>
      <c r="H31" s="3"/>
      <c r="I31" s="3"/>
      <c r="J31" s="3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</sheetData>
  <phoneticPr fontId="4" type="noConversion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45F69-CB50-42A8-BF08-08B24B37978F}">
  <sheetPr>
    <tabColor theme="4" tint="0.79998168889431442"/>
  </sheetPr>
  <dimension ref="B1:F22"/>
  <sheetViews>
    <sheetView zoomScaleNormal="100" workbookViewId="0">
      <pane xSplit="3" ySplit="2" topLeftCell="D3" activePane="bottomRight" state="frozen"/>
      <selection pane="topRight" activeCell="D1" sqref="D1"/>
      <selection pane="bottomLeft" activeCell="A5" sqref="A5"/>
      <selection pane="bottomRight" activeCell="D15" sqref="D15"/>
    </sheetView>
  </sheetViews>
  <sheetFormatPr defaultColWidth="8.5703125" defaultRowHeight="15"/>
  <cols>
    <col min="1" max="1" width="2" style="1" customWidth="1"/>
    <col min="2" max="2" width="9.42578125" style="7" customWidth="1"/>
    <col min="3" max="3" width="8.5703125" style="1"/>
    <col min="4" max="6" width="30.85546875" style="1" customWidth="1"/>
    <col min="7" max="16384" width="8.5703125" style="1"/>
  </cols>
  <sheetData>
    <row r="1" spans="2:6" ht="30.95" customHeight="1">
      <c r="C1" s="1" t="s">
        <v>40</v>
      </c>
      <c r="D1" s="9"/>
      <c r="E1" s="9"/>
      <c r="F1" s="9"/>
    </row>
    <row r="2" spans="2:6">
      <c r="C2" s="10" t="s">
        <v>1</v>
      </c>
      <c r="D2" s="11" t="s">
        <v>41</v>
      </c>
      <c r="E2" s="15" t="s">
        <v>42</v>
      </c>
      <c r="F2" s="15" t="s">
        <v>43</v>
      </c>
    </row>
    <row r="3" spans="2:6">
      <c r="B3" s="17">
        <v>2024</v>
      </c>
      <c r="C3" s="12">
        <v>45292</v>
      </c>
      <c r="D3" s="13">
        <v>9387.4</v>
      </c>
      <c r="E3" s="13">
        <v>2809.4</v>
      </c>
      <c r="F3" s="13">
        <f>Table262[[#This Row],[Cu3 (Portable Water)]]+Table262[[#This Row],[Cu3 (NEWater)]]</f>
        <v>12196.8</v>
      </c>
    </row>
    <row r="4" spans="2:6">
      <c r="C4" s="12">
        <v>45323</v>
      </c>
      <c r="D4" s="13">
        <v>8697.5</v>
      </c>
      <c r="E4" s="13">
        <v>5057.5</v>
      </c>
      <c r="F4" s="13">
        <f>Table262[[#This Row],[Cu3 (Portable Water)]]+Table262[[#This Row],[Cu3 (NEWater)]]</f>
        <v>13755</v>
      </c>
    </row>
    <row r="5" spans="2:6">
      <c r="C5" s="12">
        <v>45352</v>
      </c>
      <c r="D5" s="13">
        <v>7831.7</v>
      </c>
      <c r="E5" s="13">
        <v>4168.8999999999996</v>
      </c>
      <c r="F5" s="13">
        <f>Table262[[#This Row],[Cu3 (Portable Water)]]+Table262[[#This Row],[Cu3 (NEWater)]]</f>
        <v>12000.599999999999</v>
      </c>
    </row>
    <row r="6" spans="2:6">
      <c r="C6" s="12">
        <v>45383</v>
      </c>
      <c r="D6" s="13">
        <v>9334</v>
      </c>
      <c r="E6" s="13">
        <v>7953</v>
      </c>
      <c r="F6" s="13">
        <f>Table262[[#This Row],[Cu3 (Portable Water)]]+Table262[[#This Row],[Cu3 (NEWater)]]</f>
        <v>17287</v>
      </c>
    </row>
    <row r="7" spans="2:6">
      <c r="C7" s="12">
        <v>45413</v>
      </c>
      <c r="D7" s="13">
        <v>-3086</v>
      </c>
      <c r="E7" s="13">
        <v>6160.4</v>
      </c>
      <c r="F7" s="13">
        <f>Table262[[#This Row],[Cu3 (Portable Water)]]+Table262[[#This Row],[Cu3 (NEWater)]]</f>
        <v>3074.3999999999996</v>
      </c>
    </row>
    <row r="8" spans="2:6">
      <c r="C8" s="12">
        <v>45444</v>
      </c>
      <c r="D8" s="13">
        <v>2893.1</v>
      </c>
      <c r="E8" s="13">
        <v>5582.9</v>
      </c>
      <c r="F8" s="13">
        <f>Table262[[#This Row],[Cu3 (Portable Water)]]+Table262[[#This Row],[Cu3 (NEWater)]]</f>
        <v>8476</v>
      </c>
    </row>
    <row r="9" spans="2:6">
      <c r="C9" s="12">
        <v>45474</v>
      </c>
      <c r="D9" s="13">
        <v>6668.1</v>
      </c>
      <c r="E9" s="13">
        <v>5532.4</v>
      </c>
      <c r="F9" s="13">
        <f>Table262[[#This Row],[Cu3 (Portable Water)]]+Table262[[#This Row],[Cu3 (NEWater)]]</f>
        <v>12200.5</v>
      </c>
    </row>
    <row r="10" spans="2:6">
      <c r="C10" s="12">
        <v>45505</v>
      </c>
      <c r="D10" s="13">
        <v>7120.8</v>
      </c>
      <c r="E10" s="13">
        <v>6435.2</v>
      </c>
      <c r="F10" s="13">
        <f>Table262[[#This Row],[Cu3 (Portable Water)]]+Table262[[#This Row],[Cu3 (NEWater)]]</f>
        <v>13556</v>
      </c>
    </row>
    <row r="11" spans="2:6">
      <c r="C11" s="12">
        <v>45536</v>
      </c>
      <c r="D11" s="13">
        <v>2572.1999999999998</v>
      </c>
      <c r="E11" s="13">
        <v>5694.4</v>
      </c>
      <c r="F11" s="13">
        <f>Table262[[#This Row],[Cu3 (Portable Water)]]+Table262[[#This Row],[Cu3 (NEWater)]]</f>
        <v>8266.5999999999985</v>
      </c>
    </row>
    <row r="12" spans="2:6">
      <c r="C12" s="12">
        <v>45566</v>
      </c>
      <c r="D12" s="13">
        <v>4478.3999999999996</v>
      </c>
      <c r="E12" s="13">
        <v>5685.8</v>
      </c>
      <c r="F12" s="13">
        <f>Table262[[#This Row],[Cu3 (Portable Water)]]+Table262[[#This Row],[Cu3 (NEWater)]]</f>
        <v>10164.200000000001</v>
      </c>
    </row>
    <row r="13" spans="2:6">
      <c r="C13" s="12">
        <v>45597</v>
      </c>
      <c r="D13" s="13">
        <v>7065.7</v>
      </c>
      <c r="E13" s="13">
        <v>4677.7</v>
      </c>
      <c r="F13" s="13">
        <f>Table262[[#This Row],[Cu3 (Portable Water)]]+Table262[[#This Row],[Cu3 (NEWater)]]</f>
        <v>11743.4</v>
      </c>
    </row>
    <row r="14" spans="2:6">
      <c r="C14" s="12">
        <v>45627</v>
      </c>
      <c r="D14" s="13">
        <v>2912</v>
      </c>
      <c r="E14" s="13">
        <v>5354.4</v>
      </c>
      <c r="F14" s="13">
        <f>Table262[[#This Row],[Cu3 (Portable Water)]]+Table262[[#This Row],[Cu3 (NEWater)]]</f>
        <v>8266.4</v>
      </c>
    </row>
    <row r="15" spans="2:6">
      <c r="B15" s="17">
        <v>2025</v>
      </c>
      <c r="C15" s="12">
        <v>45658</v>
      </c>
      <c r="D15" s="13">
        <v>6038.4</v>
      </c>
      <c r="E15" s="13">
        <v>3458.9</v>
      </c>
      <c r="F15" s="13">
        <f>Table262[[#This Row],[Cu3 (Portable Water)]]+Table262[[#This Row],[Cu3 (NEWater)]]</f>
        <v>9497.2999999999993</v>
      </c>
    </row>
    <row r="16" spans="2:6">
      <c r="C16" s="12">
        <v>45689</v>
      </c>
      <c r="D16" s="13">
        <v>6754</v>
      </c>
      <c r="E16" s="13">
        <v>4406.7</v>
      </c>
      <c r="F16" s="13">
        <f>Table262[[#This Row],[Cu3 (Portable Water)]]+Table262[[#This Row],[Cu3 (NEWater)]]</f>
        <v>11160.7</v>
      </c>
    </row>
    <row r="17" spans="3:6" ht="15.75" thickBot="1">
      <c r="C17" s="12">
        <v>45717</v>
      </c>
      <c r="D17" s="16">
        <v>1229.9000000000001</v>
      </c>
      <c r="E17" s="16">
        <v>4712.3999999999996</v>
      </c>
      <c r="F17" s="13">
        <f>Table262[[#This Row],[Cu3 (Portable Water)]]+Table262[[#This Row],[Cu3 (NEWater)]]</f>
        <v>5942.2999999999993</v>
      </c>
    </row>
    <row r="18" spans="3:6">
      <c r="C18" s="12">
        <v>45748</v>
      </c>
      <c r="D18" s="13">
        <v>4099.2</v>
      </c>
      <c r="E18" s="13">
        <v>4791.3999999999996</v>
      </c>
      <c r="F18" s="13">
        <f>Table262[[#This Row],[Cu3 (Portable Water)]]+Table262[[#This Row],[Cu3 (NEWater)]]</f>
        <v>8890.5999999999985</v>
      </c>
    </row>
    <row r="19" spans="3:6">
      <c r="C19" s="12">
        <v>45778</v>
      </c>
      <c r="D19" s="13">
        <v>5425.9</v>
      </c>
      <c r="E19" s="13">
        <v>6037</v>
      </c>
      <c r="F19" s="13">
        <f>Table262[[#This Row],[Cu3 (Portable Water)]]+Table262[[#This Row],[Cu3 (NEWater)]]</f>
        <v>11462.9</v>
      </c>
    </row>
    <row r="20" spans="3:6">
      <c r="C20" s="12">
        <v>45809</v>
      </c>
      <c r="D20" s="13">
        <v>2816.3</v>
      </c>
      <c r="E20" s="13">
        <v>5239.5</v>
      </c>
      <c r="F20" s="13">
        <f>Table262[[#This Row],[Cu3 (Portable Water)]]+Table262[[#This Row],[Cu3 (NEWater)]]</f>
        <v>8055.8</v>
      </c>
    </row>
    <row r="21" spans="3:6">
      <c r="C21" s="12">
        <v>45839</v>
      </c>
      <c r="D21" s="13">
        <v>7707.3</v>
      </c>
      <c r="E21" s="13">
        <v>6700.9</v>
      </c>
      <c r="F21" s="13">
        <f>Table262[[#This Row],[Cu3 (Portable Water)]]+Table262[[#This Row],[Cu3 (NEWater)]]</f>
        <v>14408.2</v>
      </c>
    </row>
    <row r="22" spans="3:6">
      <c r="C22" s="12">
        <v>45870</v>
      </c>
      <c r="D22" s="13">
        <v>6034.9</v>
      </c>
      <c r="E22" s="13">
        <v>5585.1</v>
      </c>
      <c r="F22" s="13">
        <f>Table262[[#This Row],[Cu3 (Portable Water)]]+Table262[[#This Row],[Cu3 (NEWater)]]</f>
        <v>11620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878F9-1746-48B1-9391-816216B599DA}">
  <dimension ref="B2:V11"/>
  <sheetViews>
    <sheetView zoomScale="85" zoomScaleNormal="85" workbookViewId="0">
      <selection activeCell="C4" sqref="C4"/>
    </sheetView>
  </sheetViews>
  <sheetFormatPr defaultRowHeight="15"/>
  <cols>
    <col min="1" max="1" width="4.140625" customWidth="1"/>
    <col min="2" max="2" width="25.140625" customWidth="1"/>
    <col min="3" max="3" width="13.42578125" bestFit="1" customWidth="1"/>
    <col min="4" max="4" width="13.85546875" bestFit="1" customWidth="1"/>
    <col min="5" max="10" width="13.42578125" bestFit="1" customWidth="1"/>
    <col min="11" max="11" width="15.7109375" customWidth="1"/>
    <col min="12" max="12" width="14" customWidth="1"/>
    <col min="13" max="13" width="13" customWidth="1"/>
    <col min="14" max="14" width="14.140625" customWidth="1"/>
    <col min="15" max="22" width="13.140625" customWidth="1"/>
  </cols>
  <sheetData>
    <row r="2" spans="2:22">
      <c r="B2" s="5" t="s">
        <v>44</v>
      </c>
      <c r="C2" s="6"/>
    </row>
    <row r="3" spans="2:22">
      <c r="B3" s="4" t="s">
        <v>1</v>
      </c>
      <c r="C3" s="1" t="s">
        <v>8</v>
      </c>
      <c r="D3" s="1" t="s">
        <v>9</v>
      </c>
      <c r="E3" s="1" t="s">
        <v>45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  <c r="K3" s="1" t="s">
        <v>16</v>
      </c>
      <c r="L3" s="1" t="s">
        <v>46</v>
      </c>
      <c r="M3" s="1" t="s">
        <v>18</v>
      </c>
      <c r="N3" s="1" t="s">
        <v>19</v>
      </c>
      <c r="O3" s="1" t="s">
        <v>6</v>
      </c>
      <c r="P3" s="1" t="s">
        <v>7</v>
      </c>
      <c r="Q3" s="1" t="s">
        <v>47</v>
      </c>
      <c r="R3" s="1" t="s">
        <v>24</v>
      </c>
      <c r="S3" s="1" t="s">
        <v>48</v>
      </c>
      <c r="T3" s="1" t="s">
        <v>49</v>
      </c>
      <c r="U3" s="1" t="s">
        <v>50</v>
      </c>
      <c r="V3" s="1" t="s">
        <v>51</v>
      </c>
    </row>
    <row r="4" spans="2:22">
      <c r="B4" s="25">
        <v>45682</v>
      </c>
      <c r="C4" s="24">
        <v>224</v>
      </c>
      <c r="D4" s="24">
        <v>200</v>
      </c>
      <c r="E4" s="24">
        <v>236</v>
      </c>
      <c r="F4" s="24">
        <v>260</v>
      </c>
      <c r="G4" s="24">
        <v>360</v>
      </c>
      <c r="H4" s="24">
        <v>250</v>
      </c>
      <c r="I4" s="24">
        <v>280</v>
      </c>
      <c r="J4" s="24">
        <v>230</v>
      </c>
      <c r="K4" s="23">
        <v>202</v>
      </c>
      <c r="L4" s="23">
        <v>460</v>
      </c>
      <c r="M4" s="23">
        <v>310</v>
      </c>
      <c r="N4" s="23">
        <v>430</v>
      </c>
      <c r="O4" s="23">
        <v>240</v>
      </c>
      <c r="P4" s="23">
        <v>213</v>
      </c>
      <c r="Q4" s="23">
        <v>149</v>
      </c>
      <c r="R4" s="23">
        <v>14</v>
      </c>
      <c r="S4" s="23">
        <v>23</v>
      </c>
      <c r="T4" s="23">
        <v>226</v>
      </c>
      <c r="U4" s="23">
        <v>42</v>
      </c>
      <c r="V4" s="23">
        <v>63</v>
      </c>
    </row>
    <row r="5" spans="2:22">
      <c r="B5" s="25">
        <v>45713</v>
      </c>
      <c r="C5" s="24">
        <v>186</v>
      </c>
      <c r="D5" s="24">
        <v>156</v>
      </c>
      <c r="E5" s="24">
        <v>198</v>
      </c>
      <c r="F5" s="24">
        <v>205</v>
      </c>
      <c r="G5" s="24">
        <v>290</v>
      </c>
      <c r="H5" s="24">
        <v>210</v>
      </c>
      <c r="I5" s="24">
        <v>230</v>
      </c>
      <c r="J5" s="24">
        <v>210</v>
      </c>
      <c r="K5" s="23">
        <v>202</v>
      </c>
      <c r="L5" s="23">
        <v>390</v>
      </c>
      <c r="M5" s="23">
        <v>260</v>
      </c>
      <c r="N5" s="23">
        <v>360</v>
      </c>
      <c r="O5" s="23">
        <v>260</v>
      </c>
      <c r="P5" s="23">
        <v>122</v>
      </c>
      <c r="Q5" s="23">
        <v>92</v>
      </c>
      <c r="R5" s="23">
        <v>23</v>
      </c>
      <c r="S5" s="23">
        <v>42</v>
      </c>
      <c r="T5" s="23">
        <v>190</v>
      </c>
      <c r="U5" s="23">
        <v>18</v>
      </c>
      <c r="V5" s="23">
        <v>28</v>
      </c>
    </row>
    <row r="6" spans="2:22">
      <c r="B6" s="25">
        <v>45741</v>
      </c>
      <c r="C6" s="24">
        <v>220</v>
      </c>
      <c r="D6" s="24">
        <v>210</v>
      </c>
      <c r="E6" s="24">
        <v>226</v>
      </c>
      <c r="F6" s="24">
        <v>240</v>
      </c>
      <c r="G6" s="24">
        <v>270</v>
      </c>
      <c r="H6" s="24">
        <v>262</v>
      </c>
      <c r="I6" s="24">
        <v>280</v>
      </c>
      <c r="J6" s="24">
        <v>264</v>
      </c>
      <c r="K6" s="23">
        <v>248</v>
      </c>
      <c r="L6" s="23">
        <v>296</v>
      </c>
      <c r="M6" s="23">
        <v>270</v>
      </c>
      <c r="N6" s="23">
        <v>305</v>
      </c>
      <c r="O6" s="23">
        <v>207</v>
      </c>
      <c r="P6" s="23">
        <v>256</v>
      </c>
      <c r="Q6" s="23">
        <v>53</v>
      </c>
      <c r="R6" s="23">
        <v>11</v>
      </c>
      <c r="S6" s="23">
        <v>64</v>
      </c>
      <c r="T6" s="23">
        <v>232</v>
      </c>
      <c r="U6" s="23">
        <v>51</v>
      </c>
      <c r="V6" s="23">
        <v>19</v>
      </c>
    </row>
    <row r="7" spans="2:22">
      <c r="B7" s="25">
        <v>45772</v>
      </c>
      <c r="C7" s="24">
        <v>210</v>
      </c>
      <c r="D7" s="24">
        <v>190</v>
      </c>
      <c r="E7" s="24">
        <v>204</v>
      </c>
      <c r="F7" s="24">
        <v>216</v>
      </c>
      <c r="G7" s="24">
        <v>260</v>
      </c>
      <c r="H7" s="24">
        <v>226</v>
      </c>
      <c r="I7" s="24">
        <v>286</v>
      </c>
      <c r="J7" s="24">
        <v>216</v>
      </c>
      <c r="K7" s="23">
        <v>198</v>
      </c>
      <c r="L7" s="23">
        <v>310</v>
      </c>
      <c r="M7" s="23">
        <v>236</v>
      </c>
      <c r="N7" s="23">
        <v>286</v>
      </c>
      <c r="O7" s="23">
        <v>275</v>
      </c>
      <c r="P7" s="23">
        <v>237</v>
      </c>
      <c r="Q7" s="23">
        <v>98</v>
      </c>
      <c r="R7" s="23">
        <v>13</v>
      </c>
      <c r="S7" s="23">
        <v>24</v>
      </c>
      <c r="T7" s="23">
        <v>123</v>
      </c>
      <c r="U7" s="23">
        <v>25</v>
      </c>
      <c r="V7" s="23">
        <v>25</v>
      </c>
    </row>
    <row r="8" spans="2:22">
      <c r="B8" s="25">
        <v>45802</v>
      </c>
      <c r="C8" s="24">
        <v>439.9</v>
      </c>
      <c r="D8" s="24">
        <v>268</v>
      </c>
      <c r="E8" s="24">
        <v>497.4</v>
      </c>
      <c r="F8" s="24">
        <v>506</v>
      </c>
      <c r="G8" s="24">
        <v>245.3</v>
      </c>
      <c r="H8" s="24">
        <v>238</v>
      </c>
      <c r="I8" s="24">
        <v>272.39999999999998</v>
      </c>
      <c r="J8" s="24">
        <v>382.4</v>
      </c>
      <c r="K8" s="23">
        <v>314</v>
      </c>
      <c r="L8" s="23">
        <v>334.4</v>
      </c>
      <c r="M8" s="23">
        <v>315.2</v>
      </c>
      <c r="N8" s="23">
        <v>376</v>
      </c>
      <c r="O8" s="23">
        <v>279</v>
      </c>
      <c r="P8" s="23">
        <v>218</v>
      </c>
      <c r="Q8" s="23">
        <v>183</v>
      </c>
      <c r="R8" s="23">
        <v>15</v>
      </c>
      <c r="S8" s="23">
        <v>46</v>
      </c>
      <c r="T8" s="23">
        <v>373</v>
      </c>
      <c r="U8" s="23">
        <v>22</v>
      </c>
      <c r="V8" s="23">
        <v>42</v>
      </c>
    </row>
    <row r="9" spans="2:22">
      <c r="B9" s="25">
        <v>45833</v>
      </c>
      <c r="C9" s="24">
        <v>395</v>
      </c>
      <c r="D9" s="24">
        <v>210</v>
      </c>
      <c r="E9" s="24">
        <v>380</v>
      </c>
      <c r="F9" s="24">
        <v>259</v>
      </c>
      <c r="G9" s="24">
        <v>210</v>
      </c>
      <c r="H9" s="24">
        <v>210</v>
      </c>
      <c r="I9" s="24">
        <v>220</v>
      </c>
      <c r="J9" s="24">
        <v>228</v>
      </c>
      <c r="K9" s="23">
        <v>93</v>
      </c>
      <c r="L9" s="23">
        <v>320</v>
      </c>
      <c r="M9" s="23">
        <v>240</v>
      </c>
      <c r="N9" s="23">
        <v>260</v>
      </c>
      <c r="O9" s="23">
        <v>242</v>
      </c>
      <c r="P9" s="23">
        <v>111</v>
      </c>
      <c r="Q9" s="23">
        <v>113</v>
      </c>
      <c r="R9" s="23">
        <v>8</v>
      </c>
      <c r="S9" s="23">
        <v>76</v>
      </c>
      <c r="T9" s="23">
        <v>211</v>
      </c>
      <c r="U9" s="23">
        <v>16</v>
      </c>
      <c r="V9" s="23">
        <v>36</v>
      </c>
    </row>
    <row r="10" spans="2:22">
      <c r="B10" s="25">
        <v>45863</v>
      </c>
      <c r="C10" s="24">
        <v>420</v>
      </c>
      <c r="D10" s="24">
        <v>296</v>
      </c>
      <c r="E10" s="24">
        <v>402</v>
      </c>
      <c r="F10" s="24">
        <v>442</v>
      </c>
      <c r="G10" s="24">
        <v>310</v>
      </c>
      <c r="H10" s="24">
        <v>320</v>
      </c>
      <c r="I10" s="24">
        <v>436</v>
      </c>
      <c r="J10" s="24">
        <v>336</v>
      </c>
      <c r="K10" s="23">
        <v>310</v>
      </c>
      <c r="L10" s="23">
        <v>380</v>
      </c>
      <c r="M10" s="23">
        <v>280</v>
      </c>
      <c r="N10" s="23">
        <v>370</v>
      </c>
      <c r="O10" s="23">
        <v>327</v>
      </c>
      <c r="P10" s="23">
        <v>166</v>
      </c>
      <c r="Q10" s="23">
        <v>300</v>
      </c>
      <c r="R10" s="23">
        <v>18</v>
      </c>
      <c r="S10" s="23">
        <v>36</v>
      </c>
      <c r="T10" s="23">
        <v>328</v>
      </c>
      <c r="U10" s="23">
        <v>23</v>
      </c>
      <c r="V10" s="23">
        <v>39</v>
      </c>
    </row>
    <row r="11" spans="2:22">
      <c r="B11" s="25">
        <v>45894</v>
      </c>
      <c r="C11" s="24">
        <v>380</v>
      </c>
      <c r="D11" s="24">
        <v>226</v>
      </c>
      <c r="E11" s="24">
        <v>360</v>
      </c>
      <c r="F11" s="24">
        <v>348</v>
      </c>
      <c r="G11" s="24">
        <v>240</v>
      </c>
      <c r="H11" s="24">
        <v>210</v>
      </c>
      <c r="I11" s="24">
        <v>224</v>
      </c>
      <c r="J11" s="24">
        <v>280</v>
      </c>
      <c r="K11" s="23">
        <v>260</v>
      </c>
      <c r="L11" s="23">
        <v>310</v>
      </c>
      <c r="M11" s="23">
        <v>260</v>
      </c>
      <c r="N11" s="23">
        <v>290</v>
      </c>
      <c r="O11" s="23">
        <v>344</v>
      </c>
      <c r="P11" s="23">
        <v>138</v>
      </c>
      <c r="Q11" s="23">
        <v>140</v>
      </c>
      <c r="R11" s="23">
        <v>16</v>
      </c>
      <c r="S11" s="23">
        <v>30</v>
      </c>
      <c r="T11" s="23">
        <v>480</v>
      </c>
      <c r="U11" s="23">
        <v>22</v>
      </c>
      <c r="V11" s="23">
        <v>48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D349C-B87D-405D-996D-42BE3FF631C0}">
  <sheetPr>
    <tabColor theme="4" tint="0.79998168889431442"/>
  </sheetPr>
  <dimension ref="B1:F22"/>
  <sheetViews>
    <sheetView tabSelected="1" zoomScaleNormal="100" workbookViewId="0">
      <pane xSplit="3" ySplit="2" topLeftCell="D3" activePane="bottomRight" state="frozen"/>
      <selection pane="topRight" activeCell="D1" sqref="D1"/>
      <selection pane="bottomLeft" activeCell="A5" sqref="A5"/>
      <selection pane="bottomRight" activeCell="D20" sqref="D20"/>
    </sheetView>
  </sheetViews>
  <sheetFormatPr defaultColWidth="8.5703125" defaultRowHeight="15"/>
  <cols>
    <col min="1" max="1" width="2" style="1" customWidth="1"/>
    <col min="2" max="2" width="9.42578125" style="7" customWidth="1"/>
    <col min="3" max="3" width="8.5703125" style="1"/>
    <col min="4" max="5" width="30.85546875" style="8" customWidth="1"/>
    <col min="6" max="6" width="30.85546875" style="1" customWidth="1"/>
    <col min="7" max="16384" width="8.5703125" style="1"/>
  </cols>
  <sheetData>
    <row r="1" spans="2:6" ht="30.95" customHeight="1">
      <c r="C1" s="1" t="s">
        <v>52</v>
      </c>
      <c r="D1" s="19"/>
      <c r="E1" s="19"/>
      <c r="F1" s="9"/>
    </row>
    <row r="2" spans="2:6">
      <c r="C2" s="10" t="s">
        <v>1</v>
      </c>
      <c r="D2" s="20" t="s">
        <v>53</v>
      </c>
      <c r="E2" s="22" t="s">
        <v>54</v>
      </c>
      <c r="F2" s="15" t="s">
        <v>55</v>
      </c>
    </row>
    <row r="3" spans="2:6">
      <c r="B3" s="14">
        <v>2024</v>
      </c>
      <c r="C3" s="12">
        <v>45292</v>
      </c>
      <c r="D3" s="8">
        <v>80484.38</v>
      </c>
      <c r="E3" s="8">
        <v>2332.8399999999965</v>
      </c>
      <c r="F3" s="13">
        <f>Table2628[[#This Row],[Urban Renewables]]+Table2628[[#This Row],[Green House (KWh)]]</f>
        <v>82817.22</v>
      </c>
    </row>
    <row r="4" spans="2:6">
      <c r="C4" s="12">
        <v>45323</v>
      </c>
      <c r="D4" s="8">
        <v>93228.96</v>
      </c>
      <c r="E4" s="8">
        <v>2691.760000000002</v>
      </c>
      <c r="F4" s="13">
        <f>Table2628[[#This Row],[Urban Renewables]]+Table2628[[#This Row],[Green House (KWh)]]</f>
        <v>95920.72</v>
      </c>
    </row>
    <row r="5" spans="2:6">
      <c r="C5" s="12">
        <v>45352</v>
      </c>
      <c r="D5" s="8">
        <v>104270.16</v>
      </c>
      <c r="E5" s="8">
        <v>2992.6999999999971</v>
      </c>
      <c r="F5" s="13">
        <f>Table2628[[#This Row],[Urban Renewables]]+Table2628[[#This Row],[Green House (KWh)]]</f>
        <v>107262.86</v>
      </c>
    </row>
    <row r="6" spans="2:6">
      <c r="C6" s="12">
        <v>45383</v>
      </c>
      <c r="D6" s="8">
        <v>84001.85</v>
      </c>
      <c r="E6" s="8">
        <v>2585.8300000000017</v>
      </c>
      <c r="F6" s="13">
        <f>Table2628[[#This Row],[Urban Renewables]]+Table2628[[#This Row],[Green House (KWh)]]</f>
        <v>86587.680000000008</v>
      </c>
    </row>
    <row r="7" spans="2:6">
      <c r="C7" s="12">
        <v>45413</v>
      </c>
      <c r="D7" s="8">
        <v>72025</v>
      </c>
      <c r="E7" s="8">
        <v>2204.1600000000035</v>
      </c>
      <c r="F7" s="13">
        <f>Table2628[[#This Row],[Urban Renewables]]+Table2628[[#This Row],[Green House (KWh)]]</f>
        <v>74229.16</v>
      </c>
    </row>
    <row r="8" spans="2:6">
      <c r="C8" s="12">
        <v>45444</v>
      </c>
      <c r="D8" s="8">
        <v>75250.19</v>
      </c>
      <c r="E8" s="8">
        <v>2282.5899999999965</v>
      </c>
      <c r="F8" s="13">
        <f>Table2628[[#This Row],[Urban Renewables]]+Table2628[[#This Row],[Green House (KWh)]]</f>
        <v>77532.78</v>
      </c>
    </row>
    <row r="9" spans="2:6">
      <c r="C9" s="12">
        <v>45474</v>
      </c>
      <c r="D9" s="8">
        <v>98728.71</v>
      </c>
      <c r="E9" s="8">
        <v>2925.1700000000055</v>
      </c>
      <c r="F9" s="13">
        <f>Table2628[[#This Row],[Urban Renewables]]+Table2628[[#This Row],[Green House (KWh)]]</f>
        <v>101653.88</v>
      </c>
    </row>
    <row r="10" spans="2:6">
      <c r="C10" s="12">
        <v>45505</v>
      </c>
      <c r="D10" s="8">
        <v>95418.72</v>
      </c>
      <c r="E10" s="8">
        <v>2910.4899999999907</v>
      </c>
      <c r="F10" s="13">
        <f>Table2628[[#This Row],[Urban Renewables]]+Table2628[[#This Row],[Green House (KWh)]]</f>
        <v>98329.209999999992</v>
      </c>
    </row>
    <row r="11" spans="2:6">
      <c r="C11" s="12">
        <v>45536</v>
      </c>
      <c r="D11" s="8">
        <v>97554.42</v>
      </c>
      <c r="E11" s="8">
        <v>2632.7700000000041</v>
      </c>
      <c r="F11" s="13">
        <f>Table2628[[#This Row],[Urban Renewables]]+Table2628[[#This Row],[Green House (KWh)]]</f>
        <v>100187.19</v>
      </c>
    </row>
    <row r="12" spans="2:6">
      <c r="C12" s="12">
        <v>45566</v>
      </c>
      <c r="D12" s="8">
        <v>89054.45</v>
      </c>
      <c r="E12" s="8">
        <v>389.36999999999534</v>
      </c>
      <c r="F12" s="13">
        <f>Table2628[[#This Row],[Urban Renewables]]+Table2628[[#This Row],[Green House (KWh)]]</f>
        <v>89443.819999999992</v>
      </c>
    </row>
    <row r="13" spans="2:6">
      <c r="C13" s="12">
        <v>45597</v>
      </c>
      <c r="D13" s="8">
        <v>71433.22</v>
      </c>
      <c r="E13" s="8">
        <v>2310.5299999999988</v>
      </c>
      <c r="F13" s="13">
        <f>Table2628[[#This Row],[Urban Renewables]]+Table2628[[#This Row],[Green House (KWh)]]</f>
        <v>73743.75</v>
      </c>
    </row>
    <row r="14" spans="2:6">
      <c r="C14" s="12">
        <v>45627</v>
      </c>
      <c r="D14" s="8">
        <v>83470.7</v>
      </c>
      <c r="E14" s="8">
        <v>2588.0500000000029</v>
      </c>
      <c r="F14" s="13">
        <f>Table2628[[#This Row],[Urban Renewables]]+Table2628[[#This Row],[Green House (KWh)]]</f>
        <v>86058.75</v>
      </c>
    </row>
    <row r="15" spans="2:6">
      <c r="B15" s="14">
        <v>2025</v>
      </c>
      <c r="C15" s="12">
        <v>45658</v>
      </c>
      <c r="D15" s="8">
        <v>64929.97</v>
      </c>
      <c r="E15" s="8">
        <v>2009.1200000000099</v>
      </c>
      <c r="F15" s="13">
        <f>Table2628[[#This Row],[Urban Renewables]]+Table2628[[#This Row],[Green House (KWh)]]</f>
        <v>66939.090000000011</v>
      </c>
    </row>
    <row r="16" spans="2:6">
      <c r="C16" s="12">
        <v>45689</v>
      </c>
      <c r="D16" s="8">
        <v>91599.06</v>
      </c>
      <c r="E16" s="8">
        <v>2432.8999999999942</v>
      </c>
      <c r="F16" s="13">
        <f>Table2628[[#This Row],[Urban Renewables]]+Table2628[[#This Row],[Green House (KWh)]]</f>
        <v>94031.959999999992</v>
      </c>
    </row>
    <row r="17" spans="3:6" ht="15.75" thickBot="1">
      <c r="C17" s="12">
        <v>45717</v>
      </c>
      <c r="D17" s="21">
        <v>87040.8</v>
      </c>
      <c r="E17" s="21">
        <v>1431.3699999999953</v>
      </c>
      <c r="F17" s="13">
        <f>Table2628[[#This Row],[Urban Renewables]]+Table2628[[#This Row],[Green House (KWh)]]</f>
        <v>88472.17</v>
      </c>
    </row>
    <row r="18" spans="3:6">
      <c r="C18" s="12">
        <v>45748</v>
      </c>
      <c r="D18" s="8">
        <v>91938.36</v>
      </c>
      <c r="E18" s="8">
        <v>2652.9700000000012</v>
      </c>
      <c r="F18" s="13">
        <f>Table2628[[#This Row],[Urban Renewables]]+Table2628[[#This Row],[Green House (KWh)]]</f>
        <v>94591.33</v>
      </c>
    </row>
    <row r="19" spans="3:6">
      <c r="C19" s="12">
        <v>45778</v>
      </c>
      <c r="D19" s="8">
        <v>93780.37</v>
      </c>
      <c r="E19" s="8">
        <v>2844.5299999999988</v>
      </c>
      <c r="F19" s="13">
        <f>Table2628[[#This Row],[Urban Renewables]]+Table2628[[#This Row],[Green House (KWh)]]</f>
        <v>96624.9</v>
      </c>
    </row>
    <row r="20" spans="3:6">
      <c r="C20" s="12">
        <v>45809</v>
      </c>
      <c r="D20" s="8">
        <v>91181.45</v>
      </c>
      <c r="E20" s="8">
        <v>1984.070000000007</v>
      </c>
      <c r="F20" s="13">
        <f>Table2628[[#This Row],[Urban Renewables]]+Table2628[[#This Row],[Green House (KWh)]]</f>
        <v>93165.52</v>
      </c>
    </row>
    <row r="21" spans="3:6">
      <c r="C21" s="12">
        <v>45839</v>
      </c>
      <c r="D21" s="8">
        <v>93725.89</v>
      </c>
      <c r="E21" s="8">
        <v>1761.4199999999983</v>
      </c>
      <c r="F21" s="13">
        <f>Table2628[[#This Row],[Urban Renewables]]+Table2628[[#This Row],[Green House (KWh)]]</f>
        <v>95487.31</v>
      </c>
    </row>
    <row r="22" spans="3:6">
      <c r="C22" s="12">
        <v>45870</v>
      </c>
      <c r="F22" s="13">
        <f>Table2628[[#This Row],[Urban Renewables]]+Table2628[[#This Row],[Green House (KWh)]]</f>
        <v>0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58F14-D76B-46D4-93ED-2891356452E1}">
  <dimension ref="A1:AY24"/>
  <sheetViews>
    <sheetView workbookViewId="0">
      <selection activeCell="J26" sqref="J26"/>
    </sheetView>
  </sheetViews>
  <sheetFormatPr defaultRowHeight="15"/>
  <cols>
    <col min="1" max="1" width="35.5703125" bestFit="1" customWidth="1"/>
  </cols>
  <sheetData>
    <row r="1" spans="1:51" ht="21">
      <c r="A1" s="26" t="s">
        <v>56</v>
      </c>
      <c r="B1" s="27"/>
      <c r="C1" s="27"/>
      <c r="D1" s="27"/>
      <c r="E1" s="27"/>
    </row>
    <row r="2" spans="1:51" ht="60">
      <c r="A2" s="28" t="s">
        <v>57</v>
      </c>
      <c r="B2" s="29" t="s">
        <v>58</v>
      </c>
      <c r="C2" s="29" t="s">
        <v>59</v>
      </c>
      <c r="D2" s="29" t="s">
        <v>60</v>
      </c>
      <c r="E2" s="29" t="s">
        <v>61</v>
      </c>
    </row>
    <row r="3" spans="1:51">
      <c r="A3" s="30" t="s">
        <v>62</v>
      </c>
      <c r="B3" s="31">
        <v>118510</v>
      </c>
      <c r="C3" s="31">
        <v>28499.480000000003</v>
      </c>
      <c r="D3" s="32">
        <v>0.80430428169533652</v>
      </c>
      <c r="E3" s="32">
        <v>0.19569571830466348</v>
      </c>
    </row>
    <row r="4" spans="1:51">
      <c r="A4" s="33">
        <v>45292</v>
      </c>
      <c r="B4" s="31">
        <v>47190</v>
      </c>
      <c r="C4" s="31">
        <v>9890.5</v>
      </c>
      <c r="D4" s="32">
        <v>0.82672716601991925</v>
      </c>
      <c r="E4" s="32">
        <v>0.17327283398008075</v>
      </c>
    </row>
    <row r="5" spans="1:51">
      <c r="A5" s="33">
        <v>45323</v>
      </c>
      <c r="B5" s="31">
        <v>36015</v>
      </c>
      <c r="C5" s="31">
        <v>9501.380000000001</v>
      </c>
      <c r="D5" s="32">
        <v>0.7912536102387755</v>
      </c>
      <c r="E5" s="32">
        <v>0.20874638976122442</v>
      </c>
    </row>
    <row r="6" spans="1:51">
      <c r="A6" s="33">
        <v>45352</v>
      </c>
      <c r="B6" s="31">
        <v>35305</v>
      </c>
      <c r="C6" s="31">
        <v>9107.6</v>
      </c>
      <c r="D6" s="32">
        <v>0.79493206882731482</v>
      </c>
      <c r="E6" s="32">
        <v>0.20506793117268524</v>
      </c>
    </row>
    <row r="7" spans="1:51">
      <c r="A7" s="30" t="s">
        <v>63</v>
      </c>
      <c r="B7" s="31">
        <v>472600</v>
      </c>
      <c r="C7" s="31">
        <v>139582.79999999999</v>
      </c>
      <c r="D7" s="32">
        <v>0.76825574415776465</v>
      </c>
      <c r="E7" s="32">
        <v>0.23174425584223537</v>
      </c>
    </row>
    <row r="8" spans="1:51">
      <c r="A8" s="33">
        <v>45383</v>
      </c>
      <c r="B8" s="31">
        <v>38200</v>
      </c>
      <c r="C8" s="31">
        <v>9735.4599999999991</v>
      </c>
      <c r="D8" s="32">
        <v>0.79690483829716041</v>
      </c>
      <c r="E8" s="32">
        <v>0.20309516170283959</v>
      </c>
      <c r="K8" s="34"/>
    </row>
    <row r="9" spans="1:51">
      <c r="A9" s="33">
        <v>45413</v>
      </c>
      <c r="B9" s="31">
        <v>52800</v>
      </c>
      <c r="C9" s="31">
        <v>10256.549999999999</v>
      </c>
      <c r="D9" s="32">
        <v>0.8373436225102705</v>
      </c>
      <c r="E9" s="32">
        <v>0.16265637748972944</v>
      </c>
    </row>
    <row r="10" spans="1:51">
      <c r="A10" s="33">
        <v>45444</v>
      </c>
      <c r="B10" s="31">
        <v>29530</v>
      </c>
      <c r="C10" s="31">
        <v>17129.62</v>
      </c>
      <c r="D10" s="32">
        <v>0.6328812793588976</v>
      </c>
      <c r="E10" s="32">
        <v>0.36711872064110251</v>
      </c>
    </row>
    <row r="11" spans="1:51">
      <c r="A11" s="33">
        <v>45474</v>
      </c>
      <c r="B11" s="31">
        <v>50770</v>
      </c>
      <c r="C11" s="31">
        <v>14672.88</v>
      </c>
      <c r="D11" s="32">
        <v>0.77579104098108154</v>
      </c>
      <c r="E11" s="32">
        <v>0.22420895901891849</v>
      </c>
    </row>
    <row r="12" spans="1:51" s="35" customFormat="1">
      <c r="A12" s="33">
        <v>45505</v>
      </c>
      <c r="B12" s="31">
        <v>40895</v>
      </c>
      <c r="C12" s="31">
        <v>9603.2900000000009</v>
      </c>
      <c r="D12" s="32">
        <v>0.80982940214411214</v>
      </c>
      <c r="E12" s="32">
        <v>0.1901705978558878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</row>
    <row r="13" spans="1:51">
      <c r="A13" s="33">
        <v>45536</v>
      </c>
      <c r="B13" s="31">
        <v>31730</v>
      </c>
      <c r="C13" s="31">
        <v>20662.419999999998</v>
      </c>
      <c r="D13" s="32">
        <v>0.60562195829091314</v>
      </c>
      <c r="E13" s="32">
        <v>0.39437804170908691</v>
      </c>
    </row>
    <row r="14" spans="1:51">
      <c r="A14" s="33">
        <v>45566</v>
      </c>
      <c r="B14" s="31">
        <v>42790</v>
      </c>
      <c r="C14" s="31">
        <v>8205.25</v>
      </c>
      <c r="D14" s="32">
        <v>0.83909775910501472</v>
      </c>
      <c r="E14" s="32">
        <v>0.16090224089498531</v>
      </c>
    </row>
    <row r="15" spans="1:51">
      <c r="A15" s="33">
        <v>45597</v>
      </c>
      <c r="B15" s="31">
        <v>54130</v>
      </c>
      <c r="C15" s="31">
        <v>10373.56</v>
      </c>
      <c r="D15" s="32">
        <v>0.83917848875317891</v>
      </c>
      <c r="E15" s="32">
        <v>0.16082151124682109</v>
      </c>
    </row>
    <row r="16" spans="1:51">
      <c r="A16" s="33">
        <v>45627</v>
      </c>
      <c r="B16" s="31">
        <v>31205</v>
      </c>
      <c r="C16" s="31">
        <v>12202.02</v>
      </c>
      <c r="D16" s="32">
        <v>0.71889293482943539</v>
      </c>
      <c r="E16" s="32">
        <v>0.28110706517056455</v>
      </c>
    </row>
    <row r="17" spans="1:5">
      <c r="A17" s="33">
        <v>45658</v>
      </c>
      <c r="B17" s="31">
        <v>40290</v>
      </c>
      <c r="C17" s="31">
        <v>10244.34</v>
      </c>
      <c r="D17" s="32">
        <v>0.79727963202843855</v>
      </c>
      <c r="E17" s="32">
        <v>0.20272036797156154</v>
      </c>
    </row>
    <row r="18" spans="1:5">
      <c r="A18" s="33">
        <v>45689</v>
      </c>
      <c r="B18" s="31">
        <v>33220</v>
      </c>
      <c r="C18" s="31">
        <v>7611.79</v>
      </c>
      <c r="D18" s="32">
        <v>0.81358177047834546</v>
      </c>
      <c r="E18" s="32">
        <v>0.18641822952165457</v>
      </c>
    </row>
    <row r="19" spans="1:5">
      <c r="A19" s="33">
        <v>45717</v>
      </c>
      <c r="B19" s="31">
        <v>27040</v>
      </c>
      <c r="C19" s="31">
        <v>8885.619999999999</v>
      </c>
      <c r="D19" s="32">
        <v>0.7526662031163277</v>
      </c>
      <c r="E19" s="32">
        <v>0.24733379688367244</v>
      </c>
    </row>
    <row r="20" spans="1:5">
      <c r="A20" s="30" t="s">
        <v>64</v>
      </c>
      <c r="B20" s="31">
        <v>160108</v>
      </c>
      <c r="C20" s="31">
        <v>44915.86</v>
      </c>
      <c r="D20" s="32">
        <v>0.78207079328890705</v>
      </c>
      <c r="E20" s="32">
        <v>0.21792920671109298</v>
      </c>
    </row>
    <row r="21" spans="1:5">
      <c r="A21" s="33">
        <v>45748</v>
      </c>
      <c r="B21" s="31">
        <v>38340</v>
      </c>
      <c r="C21" s="31">
        <v>6736.3</v>
      </c>
      <c r="D21" s="32">
        <v>0.85055783194272816</v>
      </c>
      <c r="E21" s="32">
        <v>0.14944216805727178</v>
      </c>
    </row>
    <row r="22" spans="1:5">
      <c r="A22" s="33">
        <v>45778</v>
      </c>
      <c r="B22" s="31">
        <v>47238</v>
      </c>
      <c r="C22" s="31">
        <v>8590.2999999999993</v>
      </c>
      <c r="D22" s="32">
        <v>0.84613000933218452</v>
      </c>
      <c r="E22" s="32">
        <v>0.1538699906678154</v>
      </c>
    </row>
    <row r="23" spans="1:5">
      <c r="A23" s="33">
        <v>45809</v>
      </c>
      <c r="B23" s="31">
        <v>30255</v>
      </c>
      <c r="C23" s="31">
        <v>21798.400000000001</v>
      </c>
      <c r="D23" s="32">
        <v>0.58123004453119298</v>
      </c>
      <c r="E23" s="32">
        <v>0.41876995546880708</v>
      </c>
    </row>
    <row r="24" spans="1:5">
      <c r="A24" s="33">
        <v>45839</v>
      </c>
      <c r="B24" s="31">
        <v>44275</v>
      </c>
      <c r="C24" s="31">
        <v>7790.8600000000006</v>
      </c>
      <c r="D24" s="32">
        <v>0.85036528734952233</v>
      </c>
      <c r="E24" s="32">
        <v>0.1496347126504777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25ec627-a3d7-4544-8c26-d34fce24e371}" enabled="1" method="Privileged" siteId="{f688b0d0-79f0-40a4-8644-35fcdee9d0f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1_Elec Bill</vt:lpstr>
      <vt:lpstr>1.1_Individual Pod</vt:lpstr>
      <vt:lpstr>2_Water Bill</vt:lpstr>
      <vt:lpstr>2.1_Individual Pod</vt:lpstr>
      <vt:lpstr>3_Solar Data</vt:lpstr>
      <vt:lpstr>4_Waste and Recycled (Pivot)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Dai Manjing (RP)</dc:creator>
  <cp:keywords/>
  <dc:description/>
  <cp:lastModifiedBy>WAN SAI RUI SAMUEL</cp:lastModifiedBy>
  <cp:revision/>
  <dcterms:created xsi:type="dcterms:W3CDTF">2015-06-05T18:17:20Z</dcterms:created>
  <dcterms:modified xsi:type="dcterms:W3CDTF">2025-12-08T13:01:41Z</dcterms:modified>
  <cp:category/>
  <cp:contentStatus/>
</cp:coreProperties>
</file>