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yrp-my.sharepoint.com/personal/dai_manjing_rp_edu_sg/Documents/0_OES/0_Energy/4_Untility Dashboard/ESG Center/"/>
    </mc:Choice>
  </mc:AlternateContent>
  <xr:revisionPtr revIDLastSave="223" documentId="13_ncr:1_{252D1F80-550A-4881-8F6E-4B0E87723122}" xr6:coauthVersionLast="47" xr6:coauthVersionMax="47" xr10:uidLastSave="{82151AA6-B240-4CD6-8BAF-07BB314F83B4}"/>
  <bookViews>
    <workbookView xWindow="-105" yWindow="-16200" windowWidth="14610" windowHeight="15585" activeTab="3" xr2:uid="{00000000-000D-0000-FFFF-FFFF00000000}"/>
  </bookViews>
  <sheets>
    <sheet name="Elec" sheetId="8" r:id="rId1"/>
    <sheet name="Solar" sheetId="5" r:id="rId2"/>
    <sheet name="Water" sheetId="7" r:id="rId3"/>
    <sheet name="Wast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5" l="1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 l="1"/>
  <c r="D16" i="5"/>
  <c r="D15" i="5"/>
  <c r="D14" i="5"/>
  <c r="D13" i="5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3" i="8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3" i="7"/>
</calcChain>
</file>

<file path=xl/sharedStrings.xml><?xml version="1.0" encoding="utf-8"?>
<sst xmlns="http://schemas.openxmlformats.org/spreadsheetml/2006/main" count="18" uniqueCount="11">
  <si>
    <t>Year</t>
  </si>
  <si>
    <t>Month</t>
  </si>
  <si>
    <t>Tenant Consumption</t>
  </si>
  <si>
    <t>From Senoko Bill</t>
  </si>
  <si>
    <t>General Waste w/o CH Waste</t>
  </si>
  <si>
    <t xml:space="preserve">Portable Water Usage </t>
  </si>
  <si>
    <t xml:space="preserve"> NEWater Usage </t>
  </si>
  <si>
    <t>Total Water Usage</t>
  </si>
  <si>
    <t>Tenant Usage</t>
  </si>
  <si>
    <t>RP Net Usage</t>
  </si>
  <si>
    <t>Monthly Solar Gernation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</si>
</sst>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6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2" borderId="1" applyNumberFormat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7" fontId="2" fillId="0" borderId="2" xfId="0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2" fillId="9" borderId="2" xfId="0" applyFont="1" applyFill="1" applyBorder="1"/>
    <xf numFmtId="0" fontId="0" fillId="0" borderId="2" xfId="0" applyBorder="1" applyAlignment="1">
      <alignment horizontal="center" vertical="center"/>
    </xf>
    <xf numFmtId="165" fontId="0" fillId="0" borderId="2" xfId="0" applyNumberFormat="1" applyBorder="1"/>
  </cellXfs>
  <cellStyles count="3">
    <cellStyle name="Normal" xfId="0" builtinId="0"/>
    <cellStyle name="Normal 2" xfId="1" xr:uid="{2E9AF3E2-CC22-4677-ADFF-A33D19894863}"/>
    <cellStyle name="Output 2" xfId="2" xr:uid="{3763B9D0-B7E9-4863-BD08-B77E1D6A86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AA84-52EA-4098-88C0-84219C4FFE85}">
  <dimension ref="B2:F53"/>
  <sheetViews>
    <sheetView workbookViewId="0">
      <selection activeCell="F35" sqref="F35"/>
    </sheetView>
  </sheetViews>
  <sheetFormatPr defaultRowHeight="14.5" x14ac:dyDescent="0.35"/>
  <cols>
    <col min="2" max="2" width="5.7265625" customWidth="1"/>
    <col min="3" max="3" width="13.36328125" customWidth="1"/>
    <col min="4" max="4" width="27.08984375" bestFit="1" customWidth="1"/>
    <col min="5" max="5" width="28.08984375" customWidth="1"/>
    <col min="6" max="6" width="24.54296875" customWidth="1"/>
  </cols>
  <sheetData>
    <row r="2" spans="2:6" x14ac:dyDescent="0.35">
      <c r="B2" s="6" t="s">
        <v>0</v>
      </c>
      <c r="C2" s="6" t="s">
        <v>1</v>
      </c>
      <c r="D2" s="6" t="s">
        <v>3</v>
      </c>
      <c r="E2" s="6" t="s">
        <v>2</v>
      </c>
      <c r="F2" s="6" t="s">
        <v>9</v>
      </c>
    </row>
    <row r="3" spans="2:6" x14ac:dyDescent="0.35">
      <c r="B3" s="5">
        <v>2022</v>
      </c>
      <c r="C3" s="4">
        <v>44562</v>
      </c>
      <c r="D3" s="7">
        <v>2200392</v>
      </c>
      <c r="E3" s="8">
        <v>281821.02400000009</v>
      </c>
      <c r="F3" s="18">
        <f>D3-E3</f>
        <v>1918570.9759999998</v>
      </c>
    </row>
    <row r="4" spans="2:6" x14ac:dyDescent="0.35">
      <c r="B4" s="2"/>
      <c r="C4" s="4">
        <v>44593</v>
      </c>
      <c r="D4" s="7">
        <v>1888530</v>
      </c>
      <c r="E4" s="8">
        <v>318675.89600000007</v>
      </c>
      <c r="F4" s="18">
        <f t="shared" ref="F4:F53" si="0">D4-E4</f>
        <v>1569854.1039999998</v>
      </c>
    </row>
    <row r="5" spans="2:6" x14ac:dyDescent="0.35">
      <c r="B5" s="2"/>
      <c r="C5" s="4">
        <v>44621</v>
      </c>
      <c r="D5" s="7">
        <v>2102286</v>
      </c>
      <c r="E5" s="8">
        <v>278048.05699999986</v>
      </c>
      <c r="F5" s="18">
        <f t="shared" si="0"/>
        <v>1824237.9430000002</v>
      </c>
    </row>
    <row r="6" spans="2:6" x14ac:dyDescent="0.35">
      <c r="B6" s="2"/>
      <c r="C6" s="4">
        <v>44652</v>
      </c>
      <c r="D6" s="7">
        <v>2091231</v>
      </c>
      <c r="E6" s="8">
        <v>288537.30500000011</v>
      </c>
      <c r="F6" s="18">
        <f t="shared" si="0"/>
        <v>1802693.6949999998</v>
      </c>
    </row>
    <row r="7" spans="2:6" x14ac:dyDescent="0.35">
      <c r="B7" s="2"/>
      <c r="C7" s="4">
        <v>44682</v>
      </c>
      <c r="D7" s="7">
        <v>2318349</v>
      </c>
      <c r="E7" s="8">
        <v>351424.21199999988</v>
      </c>
      <c r="F7" s="18">
        <f t="shared" si="0"/>
        <v>1966924.7880000002</v>
      </c>
    </row>
    <row r="8" spans="2:6" x14ac:dyDescent="0.35">
      <c r="B8" s="2"/>
      <c r="C8" s="4">
        <v>44713</v>
      </c>
      <c r="D8" s="7">
        <v>1973169</v>
      </c>
      <c r="E8" s="8">
        <v>294411.41100000025</v>
      </c>
      <c r="F8" s="18">
        <f t="shared" si="0"/>
        <v>1678757.5889999997</v>
      </c>
    </row>
    <row r="9" spans="2:6" x14ac:dyDescent="0.35">
      <c r="B9" s="2"/>
      <c r="C9" s="4">
        <v>44743</v>
      </c>
      <c r="D9" s="7">
        <v>2123565</v>
      </c>
      <c r="E9" s="8">
        <v>352841.26000000018</v>
      </c>
      <c r="F9" s="18">
        <f t="shared" si="0"/>
        <v>1770723.7399999998</v>
      </c>
    </row>
    <row r="10" spans="2:6" x14ac:dyDescent="0.35">
      <c r="B10" s="2"/>
      <c r="C10" s="4">
        <v>44774</v>
      </c>
      <c r="D10" s="7">
        <v>2059002</v>
      </c>
      <c r="E10" s="8">
        <v>304846.67499999964</v>
      </c>
      <c r="F10" s="18">
        <f t="shared" si="0"/>
        <v>1754155.3250000004</v>
      </c>
    </row>
    <row r="11" spans="2:6" x14ac:dyDescent="0.35">
      <c r="B11" s="2"/>
      <c r="C11" s="4">
        <v>44805</v>
      </c>
      <c r="D11" s="7">
        <v>1756260</v>
      </c>
      <c r="E11" s="8">
        <v>281828.99000000011</v>
      </c>
      <c r="F11" s="18">
        <f t="shared" si="0"/>
        <v>1474431.0099999998</v>
      </c>
    </row>
    <row r="12" spans="2:6" x14ac:dyDescent="0.35">
      <c r="B12" s="2"/>
      <c r="C12" s="4">
        <v>44835</v>
      </c>
      <c r="D12" s="7">
        <v>1905822</v>
      </c>
      <c r="E12" s="8">
        <v>313387.17900000012</v>
      </c>
      <c r="F12" s="18">
        <f t="shared" si="0"/>
        <v>1592434.821</v>
      </c>
    </row>
    <row r="13" spans="2:6" x14ac:dyDescent="0.35">
      <c r="B13" s="2"/>
      <c r="C13" s="4">
        <v>44866</v>
      </c>
      <c r="D13" s="7">
        <v>2021379</v>
      </c>
      <c r="E13" s="8">
        <v>325338.18999999983</v>
      </c>
      <c r="F13" s="18">
        <f t="shared" si="0"/>
        <v>1696040.81</v>
      </c>
    </row>
    <row r="14" spans="2:6" x14ac:dyDescent="0.35">
      <c r="B14" s="2"/>
      <c r="C14" s="4">
        <v>44896</v>
      </c>
      <c r="D14" s="7">
        <v>1672704</v>
      </c>
      <c r="E14" s="8">
        <v>286603.92399999994</v>
      </c>
      <c r="F14" s="18">
        <f t="shared" si="0"/>
        <v>1386100.0760000001</v>
      </c>
    </row>
    <row r="15" spans="2:6" x14ac:dyDescent="0.35">
      <c r="B15" s="5">
        <v>2023</v>
      </c>
      <c r="C15" s="4">
        <v>44927</v>
      </c>
      <c r="D15" s="7">
        <v>1882125.6</v>
      </c>
      <c r="E15" s="8">
        <v>299911.79399999965</v>
      </c>
      <c r="F15" s="18">
        <f t="shared" si="0"/>
        <v>1582213.8060000003</v>
      </c>
    </row>
    <row r="16" spans="2:6" x14ac:dyDescent="0.35">
      <c r="B16" s="2"/>
      <c r="C16" s="4">
        <v>44958</v>
      </c>
      <c r="D16" s="7">
        <v>1667680.8</v>
      </c>
      <c r="E16" s="8">
        <v>286737.64300000021</v>
      </c>
      <c r="F16" s="18">
        <f t="shared" si="0"/>
        <v>1380943.1569999999</v>
      </c>
    </row>
    <row r="17" spans="2:6" x14ac:dyDescent="0.35">
      <c r="B17" s="2"/>
      <c r="C17" s="4">
        <v>44986</v>
      </c>
      <c r="D17" s="7">
        <v>1720432.8</v>
      </c>
      <c r="E17" s="8">
        <v>307892.01599999983</v>
      </c>
      <c r="F17" s="18">
        <f t="shared" si="0"/>
        <v>1412540.7840000002</v>
      </c>
    </row>
    <row r="18" spans="2:6" x14ac:dyDescent="0.35">
      <c r="B18" s="2"/>
      <c r="C18" s="4">
        <v>45017</v>
      </c>
      <c r="D18" s="7">
        <v>1797556.8</v>
      </c>
      <c r="E18" s="8">
        <v>327860.70400000026</v>
      </c>
      <c r="F18" s="18">
        <f t="shared" si="0"/>
        <v>1469696.0959999999</v>
      </c>
    </row>
    <row r="19" spans="2:6" x14ac:dyDescent="0.35">
      <c r="B19" s="2"/>
      <c r="C19" s="4">
        <v>45047</v>
      </c>
      <c r="D19" s="7">
        <v>2191336.7999999998</v>
      </c>
      <c r="E19" s="8">
        <v>385993.76099999959</v>
      </c>
      <c r="F19" s="18">
        <f t="shared" si="0"/>
        <v>1805343.0390000003</v>
      </c>
    </row>
    <row r="20" spans="2:6" x14ac:dyDescent="0.35">
      <c r="B20" s="2"/>
      <c r="C20" s="4">
        <v>45078</v>
      </c>
      <c r="D20" s="7">
        <v>1781834.4</v>
      </c>
      <c r="E20" s="8">
        <v>340559.70500000031</v>
      </c>
      <c r="F20" s="18">
        <f t="shared" si="0"/>
        <v>1441274.6949999996</v>
      </c>
    </row>
    <row r="21" spans="2:6" x14ac:dyDescent="0.35">
      <c r="B21" s="2"/>
      <c r="C21" s="4">
        <v>45108</v>
      </c>
      <c r="D21" s="7">
        <v>1868560.8</v>
      </c>
      <c r="E21" s="8">
        <v>354751.91199999972</v>
      </c>
      <c r="F21" s="18">
        <f t="shared" si="0"/>
        <v>1513808.8880000003</v>
      </c>
    </row>
    <row r="22" spans="2:6" x14ac:dyDescent="0.35">
      <c r="B22" s="3"/>
      <c r="C22" s="4">
        <v>45139</v>
      </c>
      <c r="D22" s="7">
        <v>1871028</v>
      </c>
      <c r="E22" s="8">
        <v>371122.27000000008</v>
      </c>
      <c r="F22" s="18">
        <f t="shared" si="0"/>
        <v>1499905.73</v>
      </c>
    </row>
    <row r="23" spans="2:6" x14ac:dyDescent="0.35">
      <c r="B23" s="2"/>
      <c r="C23" s="4">
        <v>45170</v>
      </c>
      <c r="D23" s="7">
        <v>1617103.2</v>
      </c>
      <c r="E23" s="8">
        <v>297600.87400000019</v>
      </c>
      <c r="F23" s="18">
        <f t="shared" si="0"/>
        <v>1319502.3259999999</v>
      </c>
    </row>
    <row r="24" spans="2:6" x14ac:dyDescent="0.35">
      <c r="B24" s="2"/>
      <c r="C24" s="4">
        <v>45200</v>
      </c>
      <c r="D24" s="7">
        <v>1841767.2</v>
      </c>
      <c r="E24" s="8">
        <v>340394.47099999984</v>
      </c>
      <c r="F24" s="18">
        <f t="shared" si="0"/>
        <v>1501372.7290000001</v>
      </c>
    </row>
    <row r="25" spans="2:6" x14ac:dyDescent="0.35">
      <c r="B25" s="2"/>
      <c r="C25" s="4">
        <v>45231</v>
      </c>
      <c r="D25" s="7">
        <v>1849084.8</v>
      </c>
      <c r="E25" s="8">
        <v>343642.19400000031</v>
      </c>
      <c r="F25" s="18">
        <f t="shared" si="0"/>
        <v>1505442.6059999997</v>
      </c>
    </row>
    <row r="26" spans="2:6" x14ac:dyDescent="0.35">
      <c r="B26" s="2"/>
      <c r="C26" s="4">
        <v>45261</v>
      </c>
      <c r="D26" s="7">
        <v>1518748.8</v>
      </c>
      <c r="E26" s="8">
        <v>305717.196</v>
      </c>
      <c r="F26" s="18">
        <f t="shared" si="0"/>
        <v>1213031.6040000001</v>
      </c>
    </row>
    <row r="27" spans="2:6" x14ac:dyDescent="0.35">
      <c r="B27" s="5">
        <v>2024</v>
      </c>
      <c r="C27" s="4">
        <v>45292</v>
      </c>
      <c r="D27" s="7">
        <v>1795250.4</v>
      </c>
      <c r="E27" s="8">
        <v>328244.25000000023</v>
      </c>
      <c r="F27" s="18">
        <f t="shared" si="0"/>
        <v>1467006.1499999997</v>
      </c>
    </row>
    <row r="28" spans="2:6" x14ac:dyDescent="0.35">
      <c r="B28" s="2"/>
      <c r="C28" s="4">
        <v>45323</v>
      </c>
      <c r="D28" s="7">
        <v>1640248.8</v>
      </c>
      <c r="E28" s="8">
        <v>308597.16999999969</v>
      </c>
      <c r="F28" s="18">
        <f t="shared" si="0"/>
        <v>1331651.6300000004</v>
      </c>
    </row>
    <row r="29" spans="2:6" x14ac:dyDescent="0.35">
      <c r="B29" s="2"/>
      <c r="C29" s="4">
        <v>45352</v>
      </c>
      <c r="D29" s="7">
        <v>1564831.2</v>
      </c>
      <c r="E29" s="8">
        <v>314829.31999999977</v>
      </c>
      <c r="F29" s="18">
        <f t="shared" si="0"/>
        <v>1250001.8800000001</v>
      </c>
    </row>
    <row r="30" spans="2:6" x14ac:dyDescent="0.35">
      <c r="B30" s="2"/>
      <c r="C30" s="4">
        <v>45383</v>
      </c>
      <c r="D30" s="7">
        <v>1852773.6</v>
      </c>
      <c r="E30" s="8">
        <v>343917.9200000001</v>
      </c>
      <c r="F30" s="18">
        <f t="shared" si="0"/>
        <v>1508855.68</v>
      </c>
    </row>
    <row r="31" spans="2:6" x14ac:dyDescent="0.35">
      <c r="B31" s="2"/>
      <c r="C31" s="4">
        <v>45413</v>
      </c>
      <c r="D31" s="7">
        <v>1994755.2</v>
      </c>
      <c r="E31" s="8">
        <v>362183.15000000031</v>
      </c>
      <c r="F31" s="18">
        <f t="shared" si="0"/>
        <v>1632572.0499999996</v>
      </c>
    </row>
    <row r="32" spans="2:6" x14ac:dyDescent="0.35">
      <c r="B32" s="2"/>
      <c r="C32" s="4">
        <v>45444</v>
      </c>
      <c r="D32" s="7">
        <v>1581009.6</v>
      </c>
      <c r="E32" s="8">
        <v>322466.18000000005</v>
      </c>
      <c r="F32" s="18">
        <f t="shared" si="0"/>
        <v>1258543.42</v>
      </c>
    </row>
    <row r="33" spans="2:6" x14ac:dyDescent="0.35">
      <c r="B33" s="2"/>
      <c r="C33" s="4">
        <v>45474</v>
      </c>
      <c r="D33" s="7">
        <v>1997882.4</v>
      </c>
      <c r="E33" s="8">
        <v>374656.76666666655</v>
      </c>
      <c r="F33" s="18">
        <f t="shared" si="0"/>
        <v>1623225.6333333333</v>
      </c>
    </row>
    <row r="34" spans="2:6" x14ac:dyDescent="0.35">
      <c r="B34" s="2"/>
      <c r="C34" s="4">
        <v>45505</v>
      </c>
      <c r="D34" s="7">
        <v>1764319.2</v>
      </c>
      <c r="E34" s="8">
        <v>338059.87666666659</v>
      </c>
      <c r="F34" s="18">
        <f t="shared" si="0"/>
        <v>1426259.3233333332</v>
      </c>
    </row>
    <row r="35" spans="2:6" x14ac:dyDescent="0.35">
      <c r="B35" s="2"/>
      <c r="C35" s="4">
        <v>45536</v>
      </c>
      <c r="D35" s="7">
        <v>1543797.6</v>
      </c>
      <c r="E35" s="8">
        <v>285800.38666666689</v>
      </c>
      <c r="F35" s="18">
        <f t="shared" si="0"/>
        <v>1257997.2133333331</v>
      </c>
    </row>
    <row r="36" spans="2:6" x14ac:dyDescent="0.35">
      <c r="B36" s="2"/>
      <c r="C36" s="4">
        <v>45566</v>
      </c>
      <c r="D36" s="7">
        <v>1755266.4</v>
      </c>
      <c r="E36" s="8">
        <v>322212.80000000005</v>
      </c>
      <c r="F36" s="18">
        <f t="shared" si="0"/>
        <v>1433053.5999999999</v>
      </c>
    </row>
    <row r="37" spans="2:6" x14ac:dyDescent="0.35">
      <c r="B37" s="2"/>
      <c r="C37" s="4">
        <v>45597</v>
      </c>
      <c r="D37" s="7">
        <v>1761640.8</v>
      </c>
      <c r="E37" s="8">
        <v>306817.07999999955</v>
      </c>
      <c r="F37" s="18">
        <f t="shared" si="0"/>
        <v>1454823.7200000004</v>
      </c>
    </row>
    <row r="38" spans="2:6" x14ac:dyDescent="0.35">
      <c r="B38" s="2"/>
      <c r="C38" s="4">
        <v>45627</v>
      </c>
      <c r="D38" s="7">
        <v>1520150.4</v>
      </c>
      <c r="E38" s="8">
        <v>259971.02987605237</v>
      </c>
      <c r="F38" s="18">
        <f t="shared" si="0"/>
        <v>1260179.3701239475</v>
      </c>
    </row>
    <row r="39" spans="2:6" x14ac:dyDescent="0.35">
      <c r="B39" s="5">
        <v>2025</v>
      </c>
      <c r="C39" s="4">
        <v>45658</v>
      </c>
      <c r="D39" s="7">
        <v>1608321.6</v>
      </c>
      <c r="E39" s="8">
        <v>219180.73242771908</v>
      </c>
      <c r="F39" s="18">
        <f t="shared" si="0"/>
        <v>1389140.867572281</v>
      </c>
    </row>
    <row r="40" spans="2:6" x14ac:dyDescent="0.35">
      <c r="B40" s="2"/>
      <c r="C40" s="4">
        <v>45689</v>
      </c>
      <c r="D40" s="7">
        <v>1509172.8</v>
      </c>
      <c r="E40" s="8">
        <v>206635.90261439088</v>
      </c>
      <c r="F40" s="18">
        <f t="shared" si="0"/>
        <v>1302536.8973856091</v>
      </c>
    </row>
    <row r="41" spans="2:6" x14ac:dyDescent="0.35">
      <c r="B41" s="2"/>
      <c r="C41" s="4">
        <v>45717</v>
      </c>
      <c r="D41" s="7">
        <v>1457191.2</v>
      </c>
      <c r="E41" s="8">
        <v>194068.23100000026</v>
      </c>
      <c r="F41" s="18">
        <f t="shared" si="0"/>
        <v>1263122.9689999996</v>
      </c>
    </row>
    <row r="42" spans="2:6" x14ac:dyDescent="0.35">
      <c r="B42" s="2"/>
      <c r="C42" s="4">
        <v>45748</v>
      </c>
      <c r="D42" s="7">
        <v>1586059.2</v>
      </c>
      <c r="E42" s="8">
        <v>205851.73176614224</v>
      </c>
      <c r="F42" s="18">
        <f t="shared" si="0"/>
        <v>1380207.4682338578</v>
      </c>
    </row>
    <row r="43" spans="2:6" x14ac:dyDescent="0.35">
      <c r="B43" s="2"/>
      <c r="C43" s="4">
        <v>45778</v>
      </c>
      <c r="D43" s="7">
        <v>1824048</v>
      </c>
      <c r="E43" s="8">
        <v>243673.38299999986</v>
      </c>
      <c r="F43" s="18">
        <f t="shared" si="0"/>
        <v>1580374.6170000001</v>
      </c>
    </row>
    <row r="44" spans="2:6" x14ac:dyDescent="0.35">
      <c r="B44" s="2"/>
      <c r="C44" s="4">
        <v>45809</v>
      </c>
      <c r="D44" s="7">
        <v>1679752.8</v>
      </c>
      <c r="E44" s="8">
        <v>220715.90200000032</v>
      </c>
      <c r="F44" s="18">
        <f t="shared" si="0"/>
        <v>1459036.8979999998</v>
      </c>
    </row>
    <row r="45" spans="2:6" x14ac:dyDescent="0.35">
      <c r="B45" s="2"/>
      <c r="C45" s="4">
        <v>45839</v>
      </c>
      <c r="D45" s="7">
        <v>1940392.8</v>
      </c>
      <c r="E45" s="8">
        <v>261797.56209153961</v>
      </c>
      <c r="F45" s="18">
        <f t="shared" si="0"/>
        <v>1678595.2379084604</v>
      </c>
    </row>
    <row r="46" spans="2:6" x14ac:dyDescent="0.35">
      <c r="B46" s="2"/>
      <c r="C46" s="4">
        <v>45870</v>
      </c>
      <c r="D46" s="7">
        <v>1661577.6</v>
      </c>
      <c r="E46" s="8">
        <v>221717.00376097005</v>
      </c>
      <c r="F46" s="18">
        <f t="shared" si="0"/>
        <v>1439860.5962390301</v>
      </c>
    </row>
    <row r="47" spans="2:6" x14ac:dyDescent="0.35">
      <c r="B47" s="2"/>
      <c r="C47" s="4">
        <v>45901</v>
      </c>
      <c r="D47" s="7">
        <v>1498519.2</v>
      </c>
      <c r="E47" s="8">
        <v>208284.23400000029</v>
      </c>
      <c r="F47" s="18">
        <f t="shared" si="0"/>
        <v>1290234.9659999995</v>
      </c>
    </row>
    <row r="48" spans="2:6" x14ac:dyDescent="0.35">
      <c r="B48" s="2"/>
      <c r="C48" s="4">
        <v>45931</v>
      </c>
      <c r="D48" s="7">
        <v>1678603.2</v>
      </c>
      <c r="E48" s="8">
        <v>226832.1771174793</v>
      </c>
      <c r="F48" s="18">
        <f t="shared" si="0"/>
        <v>1451771.0228825207</v>
      </c>
    </row>
    <row r="49" spans="2:6" x14ac:dyDescent="0.35">
      <c r="B49" s="2"/>
      <c r="C49" s="4">
        <v>45962</v>
      </c>
      <c r="D49" s="7">
        <v>1676786.4</v>
      </c>
      <c r="E49" s="8">
        <v>246741.23911861255</v>
      </c>
      <c r="F49" s="18">
        <f t="shared" si="0"/>
        <v>1430045.1608813873</v>
      </c>
    </row>
    <row r="50" spans="2:6" x14ac:dyDescent="0.35">
      <c r="B50" s="2"/>
      <c r="C50" s="4">
        <v>45992</v>
      </c>
      <c r="D50" s="7">
        <v>1462089.6</v>
      </c>
      <c r="E50" s="8">
        <v>219404.52537196348</v>
      </c>
      <c r="F50" s="18">
        <f t="shared" si="0"/>
        <v>1242685.0746280367</v>
      </c>
    </row>
    <row r="51" spans="2:6" x14ac:dyDescent="0.35">
      <c r="B51" s="5">
        <v>2026</v>
      </c>
      <c r="C51" s="4">
        <v>46023</v>
      </c>
      <c r="D51" s="7">
        <v>1587580.8</v>
      </c>
      <c r="E51" s="8">
        <v>229327.0450349098</v>
      </c>
      <c r="F51" s="18">
        <f t="shared" si="0"/>
        <v>1358253.7549650902</v>
      </c>
    </row>
    <row r="52" spans="2:6" x14ac:dyDescent="0.35">
      <c r="C52" s="4">
        <v>46054</v>
      </c>
      <c r="D52" s="7">
        <v>1335585.6000000001</v>
      </c>
      <c r="E52" s="8">
        <v>196075.98600000044</v>
      </c>
      <c r="F52" s="18">
        <f t="shared" si="0"/>
        <v>1139509.6139999996</v>
      </c>
    </row>
    <row r="53" spans="2:6" x14ac:dyDescent="0.35">
      <c r="C53" s="4">
        <v>46082</v>
      </c>
      <c r="D53" s="7">
        <v>1421323.2</v>
      </c>
      <c r="E53" s="8">
        <v>193579.9219999995</v>
      </c>
      <c r="F53" s="18">
        <f t="shared" si="0"/>
        <v>1227743.2780000004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E3D5-DB42-4841-82E5-C7D1BE9FD0A3}">
  <dimension ref="B2:D41"/>
  <sheetViews>
    <sheetView zoomScaleNormal="100" workbookViewId="0">
      <selection activeCell="G10" sqref="G10"/>
    </sheetView>
  </sheetViews>
  <sheetFormatPr defaultRowHeight="14.5" x14ac:dyDescent="0.35"/>
  <cols>
    <col min="4" max="4" width="28.08984375" style="1" bestFit="1" customWidth="1"/>
  </cols>
  <sheetData>
    <row r="2" spans="2:4" x14ac:dyDescent="0.35">
      <c r="B2" s="9" t="s">
        <v>0</v>
      </c>
      <c r="C2" s="9" t="s">
        <v>1</v>
      </c>
      <c r="D2" s="9" t="s">
        <v>10</v>
      </c>
    </row>
    <row r="3" spans="2:4" x14ac:dyDescent="0.35">
      <c r="B3" s="10">
        <v>2023</v>
      </c>
      <c r="C3" s="4">
        <v>44927</v>
      </c>
      <c r="D3" s="13">
        <v>78138</v>
      </c>
    </row>
    <row r="4" spans="2:4" x14ac:dyDescent="0.35">
      <c r="B4" s="2"/>
      <c r="C4" s="4">
        <v>44958</v>
      </c>
      <c r="D4" s="13">
        <v>80360</v>
      </c>
    </row>
    <row r="5" spans="2:4" x14ac:dyDescent="0.35">
      <c r="B5" s="2"/>
      <c r="C5" s="4">
        <v>44986</v>
      </c>
      <c r="D5" s="13">
        <v>92408</v>
      </c>
    </row>
    <row r="6" spans="2:4" x14ac:dyDescent="0.35">
      <c r="B6" s="2"/>
      <c r="C6" s="4">
        <v>45017</v>
      </c>
      <c r="D6" s="13">
        <v>90310</v>
      </c>
    </row>
    <row r="7" spans="2:4" x14ac:dyDescent="0.35">
      <c r="B7" s="2"/>
      <c r="C7" s="4">
        <v>45047</v>
      </c>
      <c r="D7" s="13">
        <v>90326</v>
      </c>
    </row>
    <row r="8" spans="2:4" x14ac:dyDescent="0.35">
      <c r="B8" s="2"/>
      <c r="C8" s="4">
        <v>45078</v>
      </c>
      <c r="D8" s="13">
        <v>85901</v>
      </c>
    </row>
    <row r="9" spans="2:4" x14ac:dyDescent="0.35">
      <c r="B9" s="2"/>
      <c r="C9" s="4">
        <v>45108</v>
      </c>
      <c r="D9" s="13">
        <v>82817</v>
      </c>
    </row>
    <row r="10" spans="2:4" x14ac:dyDescent="0.35">
      <c r="B10" s="3"/>
      <c r="C10" s="4">
        <v>45139</v>
      </c>
      <c r="D10" s="13">
        <v>91896</v>
      </c>
    </row>
    <row r="11" spans="2:4" x14ac:dyDescent="0.35">
      <c r="B11" s="2"/>
      <c r="C11" s="4">
        <v>45170</v>
      </c>
      <c r="D11" s="13">
        <v>98758</v>
      </c>
    </row>
    <row r="12" spans="2:4" x14ac:dyDescent="0.35">
      <c r="B12" s="2"/>
      <c r="C12" s="4">
        <v>45200</v>
      </c>
      <c r="D12" s="13">
        <v>106323</v>
      </c>
    </row>
    <row r="13" spans="2:4" x14ac:dyDescent="0.35">
      <c r="B13" s="2"/>
      <c r="C13" s="4">
        <v>45231</v>
      </c>
      <c r="D13" s="13">
        <f>84402.58+2681.3</f>
        <v>87083.88</v>
      </c>
    </row>
    <row r="14" spans="2:4" x14ac:dyDescent="0.35">
      <c r="B14" s="2"/>
      <c r="C14" s="4">
        <v>45261</v>
      </c>
      <c r="D14" s="13">
        <f>74550+2085.72</f>
        <v>76635.72</v>
      </c>
    </row>
    <row r="15" spans="2:4" x14ac:dyDescent="0.35">
      <c r="B15" s="10">
        <v>2024</v>
      </c>
      <c r="C15" s="4">
        <v>45292</v>
      </c>
      <c r="D15" s="13">
        <f>80484.38+2332.84</f>
        <v>82817.22</v>
      </c>
    </row>
    <row r="16" spans="2:4" x14ac:dyDescent="0.35">
      <c r="B16" s="2"/>
      <c r="C16" s="4">
        <v>45323</v>
      </c>
      <c r="D16" s="13">
        <f>93228.96+2691.76</f>
        <v>95920.72</v>
      </c>
    </row>
    <row r="17" spans="2:4" x14ac:dyDescent="0.35">
      <c r="B17" s="2"/>
      <c r="C17" s="4">
        <v>45352</v>
      </c>
      <c r="D17" s="13">
        <f>104270.16+2992.7</f>
        <v>107262.86</v>
      </c>
    </row>
    <row r="18" spans="2:4" x14ac:dyDescent="0.35">
      <c r="B18" s="2"/>
      <c r="C18" s="4">
        <v>45383</v>
      </c>
      <c r="D18" s="13">
        <f>84001.85+2585.83</f>
        <v>86587.680000000008</v>
      </c>
    </row>
    <row r="19" spans="2:4" x14ac:dyDescent="0.35">
      <c r="B19" s="2"/>
      <c r="C19" s="4">
        <v>45413</v>
      </c>
      <c r="D19" s="13">
        <f>72024.68+2204</f>
        <v>74228.679999999993</v>
      </c>
    </row>
    <row r="20" spans="2:4" x14ac:dyDescent="0.35">
      <c r="B20" s="2"/>
      <c r="C20" s="4">
        <v>45444</v>
      </c>
      <c r="D20" s="13">
        <f>75250.19+2283</f>
        <v>77533.19</v>
      </c>
    </row>
    <row r="21" spans="2:4" x14ac:dyDescent="0.35">
      <c r="B21" s="2"/>
      <c r="C21" s="4">
        <v>45474</v>
      </c>
      <c r="D21" s="13">
        <f>98728.71+2925</f>
        <v>101653.71</v>
      </c>
    </row>
    <row r="22" spans="2:4" x14ac:dyDescent="0.35">
      <c r="B22" s="2"/>
      <c r="C22" s="4">
        <v>45505</v>
      </c>
      <c r="D22" s="13">
        <f>95418.72+2911</f>
        <v>98329.72</v>
      </c>
    </row>
    <row r="23" spans="2:4" x14ac:dyDescent="0.35">
      <c r="B23" s="2"/>
      <c r="C23" s="4">
        <v>45536</v>
      </c>
      <c r="D23" s="13">
        <f>97554.42+2633</f>
        <v>100187.42</v>
      </c>
    </row>
    <row r="24" spans="2:4" x14ac:dyDescent="0.35">
      <c r="B24" s="2"/>
      <c r="C24" s="4">
        <v>45566</v>
      </c>
      <c r="D24" s="13">
        <f>89054.45+2823</f>
        <v>91877.45</v>
      </c>
    </row>
    <row r="25" spans="2:4" x14ac:dyDescent="0.35">
      <c r="B25" s="2"/>
      <c r="C25" s="4">
        <v>45597</v>
      </c>
      <c r="D25" s="13">
        <f>71433.22+2311</f>
        <v>73744.22</v>
      </c>
    </row>
    <row r="26" spans="2:4" x14ac:dyDescent="0.35">
      <c r="B26" s="2"/>
      <c r="C26" s="4">
        <v>45627</v>
      </c>
      <c r="D26" s="13">
        <f>83470.7+2588</f>
        <v>86058.7</v>
      </c>
    </row>
    <row r="27" spans="2:4" x14ac:dyDescent="0.35">
      <c r="B27" s="10">
        <v>2025</v>
      </c>
      <c r="C27" s="4">
        <v>45658</v>
      </c>
      <c r="D27" s="13">
        <f>64929.97+2009</f>
        <v>66938.97</v>
      </c>
    </row>
    <row r="28" spans="2:4" x14ac:dyDescent="0.35">
      <c r="B28" s="2"/>
      <c r="C28" s="4">
        <v>45689</v>
      </c>
      <c r="D28" s="13">
        <f>91599.06+2433</f>
        <v>94032.06</v>
      </c>
    </row>
    <row r="29" spans="2:4" x14ac:dyDescent="0.35">
      <c r="B29" s="2"/>
      <c r="C29" s="4">
        <v>45717</v>
      </c>
      <c r="D29" s="13">
        <f>86984.82+1431</f>
        <v>88415.82</v>
      </c>
    </row>
    <row r="30" spans="2:4" x14ac:dyDescent="0.35">
      <c r="B30" s="2"/>
      <c r="C30" s="4">
        <v>45748</v>
      </c>
      <c r="D30" s="13">
        <f>91938.36+2652</f>
        <v>94590.36</v>
      </c>
    </row>
    <row r="31" spans="2:4" x14ac:dyDescent="0.35">
      <c r="B31" s="2"/>
      <c r="C31" s="4">
        <v>45778</v>
      </c>
      <c r="D31" s="13">
        <f>93780.37+2844</f>
        <v>96624.37</v>
      </c>
    </row>
    <row r="32" spans="2:4" x14ac:dyDescent="0.35">
      <c r="B32" s="2"/>
      <c r="C32" s="4">
        <v>45809</v>
      </c>
      <c r="D32" s="13">
        <f>91181.45+1984</f>
        <v>93165.45</v>
      </c>
    </row>
    <row r="33" spans="2:4" x14ac:dyDescent="0.35">
      <c r="B33" s="2"/>
      <c r="C33" s="4">
        <v>45839</v>
      </c>
      <c r="D33" s="13">
        <f>93725.89+1761</f>
        <v>95486.89</v>
      </c>
    </row>
    <row r="34" spans="2:4" x14ac:dyDescent="0.35">
      <c r="B34" s="2"/>
      <c r="C34" s="4">
        <v>45870</v>
      </c>
      <c r="D34" s="13">
        <f>94442.04+843</f>
        <v>95285.04</v>
      </c>
    </row>
    <row r="35" spans="2:4" x14ac:dyDescent="0.35">
      <c r="B35" s="2"/>
      <c r="C35" s="4">
        <v>45901</v>
      </c>
      <c r="D35" s="13">
        <f>78524.06+1795</f>
        <v>80319.06</v>
      </c>
    </row>
    <row r="36" spans="2:4" x14ac:dyDescent="0.35">
      <c r="B36" s="2"/>
      <c r="C36" s="4">
        <v>45931</v>
      </c>
      <c r="D36" s="13">
        <f>89902.65+0</f>
        <v>89902.65</v>
      </c>
    </row>
    <row r="37" spans="2:4" x14ac:dyDescent="0.35">
      <c r="B37" s="2"/>
      <c r="C37" s="4">
        <v>45962</v>
      </c>
      <c r="D37" s="13">
        <f>90447.53+0</f>
        <v>90447.53</v>
      </c>
    </row>
    <row r="38" spans="2:4" x14ac:dyDescent="0.35">
      <c r="B38" s="2"/>
      <c r="C38" s="4">
        <v>45992</v>
      </c>
      <c r="D38" s="13">
        <f>80243.43+0</f>
        <v>80243.429999999993</v>
      </c>
    </row>
    <row r="39" spans="2:4" x14ac:dyDescent="0.35">
      <c r="B39" s="10">
        <v>2026</v>
      </c>
      <c r="C39" s="4">
        <v>46023</v>
      </c>
      <c r="D39" s="13">
        <f>88918+0</f>
        <v>88918</v>
      </c>
    </row>
    <row r="40" spans="2:4" x14ac:dyDescent="0.35">
      <c r="C40" s="4">
        <v>46054</v>
      </c>
      <c r="D40" s="13">
        <f>81304.78+0</f>
        <v>81304.78</v>
      </c>
    </row>
    <row r="41" spans="2:4" x14ac:dyDescent="0.35">
      <c r="C41" s="4">
        <v>46082</v>
      </c>
      <c r="D41" s="13">
        <v>108512.67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B6B8-86ED-4F6B-9D64-5CF9A5F1D344}">
  <dimension ref="B2:H54"/>
  <sheetViews>
    <sheetView workbookViewId="0">
      <selection activeCell="E29" sqref="E29"/>
    </sheetView>
  </sheetViews>
  <sheetFormatPr defaultRowHeight="14.5" x14ac:dyDescent="0.35"/>
  <cols>
    <col min="4" max="4" width="20.1796875" bestFit="1" customWidth="1"/>
    <col min="5" max="5" width="15.08984375" bestFit="1" customWidth="1"/>
    <col min="6" max="7" width="16.7265625" bestFit="1" customWidth="1"/>
    <col min="8" max="8" width="12.54296875" style="1" bestFit="1" customWidth="1"/>
  </cols>
  <sheetData>
    <row r="2" spans="2:8" x14ac:dyDescent="0.35">
      <c r="B2" s="14" t="s">
        <v>0</v>
      </c>
      <c r="C2" s="14" t="s">
        <v>1</v>
      </c>
      <c r="D2" s="16" t="s">
        <v>5</v>
      </c>
      <c r="E2" s="16" t="s">
        <v>6</v>
      </c>
      <c r="F2" s="16" t="s">
        <v>7</v>
      </c>
      <c r="G2" s="14" t="s">
        <v>8</v>
      </c>
      <c r="H2" s="14" t="s">
        <v>9</v>
      </c>
    </row>
    <row r="3" spans="2:8" x14ac:dyDescent="0.35">
      <c r="B3" s="15">
        <v>2022</v>
      </c>
      <c r="C3" s="4">
        <v>44562</v>
      </c>
      <c r="D3" s="17">
        <v>7154.6</v>
      </c>
      <c r="E3" s="17">
        <v>6060.6</v>
      </c>
      <c r="F3" s="17">
        <f>D3+E3</f>
        <v>13215.2</v>
      </c>
      <c r="G3" s="17">
        <v>627.78</v>
      </c>
      <c r="H3" s="17">
        <f>F3-G3</f>
        <v>12587.42</v>
      </c>
    </row>
    <row r="4" spans="2:8" x14ac:dyDescent="0.35">
      <c r="B4" s="2"/>
      <c r="C4" s="4">
        <v>44593</v>
      </c>
      <c r="D4" s="17">
        <v>7117.3</v>
      </c>
      <c r="E4" s="17">
        <v>7127.1</v>
      </c>
      <c r="F4" s="17">
        <f t="shared" ref="F4:F53" si="0">D4+E4</f>
        <v>14244.400000000001</v>
      </c>
      <c r="G4" s="17">
        <v>490.02</v>
      </c>
      <c r="H4" s="17">
        <f t="shared" ref="H4:H53" si="1">F4-G4</f>
        <v>13754.380000000001</v>
      </c>
    </row>
    <row r="5" spans="2:8" x14ac:dyDescent="0.35">
      <c r="B5" s="2"/>
      <c r="C5" s="4">
        <v>44621</v>
      </c>
      <c r="D5" s="17">
        <v>1994.8</v>
      </c>
      <c r="E5" s="17">
        <v>5646.1</v>
      </c>
      <c r="F5" s="17">
        <f t="shared" si="0"/>
        <v>7640.9000000000005</v>
      </c>
      <c r="G5" s="17">
        <v>614.78</v>
      </c>
      <c r="H5" s="17">
        <f t="shared" si="1"/>
        <v>7026.1200000000008</v>
      </c>
    </row>
    <row r="6" spans="2:8" x14ac:dyDescent="0.35">
      <c r="B6" s="2"/>
      <c r="C6" s="4">
        <v>44652</v>
      </c>
      <c r="D6" s="17">
        <v>4105.2</v>
      </c>
      <c r="E6" s="17">
        <v>5879.7</v>
      </c>
      <c r="F6" s="17">
        <f t="shared" si="0"/>
        <v>9984.9</v>
      </c>
      <c r="G6" s="17">
        <v>364.29999999999995</v>
      </c>
      <c r="H6" s="17">
        <f t="shared" si="1"/>
        <v>9620.6</v>
      </c>
    </row>
    <row r="7" spans="2:8" x14ac:dyDescent="0.35">
      <c r="B7" s="2"/>
      <c r="C7" s="4">
        <v>44682</v>
      </c>
      <c r="D7" s="17">
        <v>8791.4</v>
      </c>
      <c r="E7" s="17">
        <v>6762.7</v>
      </c>
      <c r="F7" s="17">
        <f t="shared" si="0"/>
        <v>15554.099999999999</v>
      </c>
      <c r="G7" s="17">
        <v>399</v>
      </c>
      <c r="H7" s="17">
        <f t="shared" si="1"/>
        <v>15155.099999999999</v>
      </c>
    </row>
    <row r="8" spans="2:8" x14ac:dyDescent="0.35">
      <c r="B8" s="2"/>
      <c r="C8" s="4">
        <v>44713</v>
      </c>
      <c r="D8" s="17">
        <v>4569.6000000000004</v>
      </c>
      <c r="E8" s="17">
        <v>6975.1</v>
      </c>
      <c r="F8" s="17">
        <f t="shared" si="0"/>
        <v>11544.7</v>
      </c>
      <c r="G8" s="17">
        <v>415.22</v>
      </c>
      <c r="H8" s="17">
        <f t="shared" si="1"/>
        <v>11129.480000000001</v>
      </c>
    </row>
    <row r="9" spans="2:8" x14ac:dyDescent="0.35">
      <c r="B9" s="2"/>
      <c r="C9" s="4">
        <v>44743</v>
      </c>
      <c r="D9" s="17">
        <v>8346.6</v>
      </c>
      <c r="E9" s="17">
        <v>6085.8</v>
      </c>
      <c r="F9" s="17">
        <f t="shared" si="0"/>
        <v>14432.400000000001</v>
      </c>
      <c r="G9" s="17">
        <v>821.74</v>
      </c>
      <c r="H9" s="17">
        <f t="shared" si="1"/>
        <v>13610.660000000002</v>
      </c>
    </row>
    <row r="10" spans="2:8" x14ac:dyDescent="0.35">
      <c r="B10" s="2"/>
      <c r="C10" s="4">
        <v>44774</v>
      </c>
      <c r="D10" s="17">
        <v>8436.2000000000007</v>
      </c>
      <c r="E10" s="17">
        <v>6851.6</v>
      </c>
      <c r="F10" s="17">
        <f t="shared" si="0"/>
        <v>15287.800000000001</v>
      </c>
      <c r="G10" s="17">
        <v>435.58</v>
      </c>
      <c r="H10" s="17">
        <f t="shared" si="1"/>
        <v>14852.220000000001</v>
      </c>
    </row>
    <row r="11" spans="2:8" x14ac:dyDescent="0.35">
      <c r="B11" s="2"/>
      <c r="C11" s="4">
        <v>44805</v>
      </c>
      <c r="D11" s="17">
        <v>1764.4</v>
      </c>
      <c r="E11" s="17">
        <v>4523.8999999999996</v>
      </c>
      <c r="F11" s="17">
        <f t="shared" si="0"/>
        <v>6288.2999999999993</v>
      </c>
      <c r="G11" s="17">
        <v>518.41999999999996</v>
      </c>
      <c r="H11" s="17">
        <f t="shared" si="1"/>
        <v>5769.8799999999992</v>
      </c>
    </row>
    <row r="12" spans="2:8" x14ac:dyDescent="0.35">
      <c r="B12" s="2"/>
      <c r="C12" s="4">
        <v>44835</v>
      </c>
      <c r="D12" s="17">
        <v>4780.1000000000004</v>
      </c>
      <c r="E12" s="17">
        <v>5416.9</v>
      </c>
      <c r="F12" s="17">
        <f t="shared" si="0"/>
        <v>10197</v>
      </c>
      <c r="G12" s="17">
        <v>565.29999999999995</v>
      </c>
      <c r="H12" s="17">
        <f t="shared" si="1"/>
        <v>9631.7000000000007</v>
      </c>
    </row>
    <row r="13" spans="2:8" x14ac:dyDescent="0.35">
      <c r="B13" s="2"/>
      <c r="C13" s="4">
        <v>44866</v>
      </c>
      <c r="D13" s="17">
        <v>8288.9</v>
      </c>
      <c r="E13" s="17">
        <v>5741.2</v>
      </c>
      <c r="F13" s="17">
        <f t="shared" si="0"/>
        <v>14030.099999999999</v>
      </c>
      <c r="G13" s="17">
        <v>522.91999999999996</v>
      </c>
      <c r="H13" s="17">
        <f t="shared" si="1"/>
        <v>13507.179999999998</v>
      </c>
    </row>
    <row r="14" spans="2:8" x14ac:dyDescent="0.35">
      <c r="B14" s="2"/>
      <c r="C14" s="4">
        <v>44896</v>
      </c>
      <c r="D14" s="17">
        <v>2877.6</v>
      </c>
      <c r="E14" s="17">
        <v>5219.1000000000004</v>
      </c>
      <c r="F14" s="17">
        <f t="shared" si="0"/>
        <v>8096.7000000000007</v>
      </c>
      <c r="G14" s="17">
        <v>274.45999999999998</v>
      </c>
      <c r="H14" s="17">
        <f t="shared" si="1"/>
        <v>7822.2400000000007</v>
      </c>
    </row>
    <row r="15" spans="2:8" x14ac:dyDescent="0.35">
      <c r="B15" s="15">
        <v>2023</v>
      </c>
      <c r="C15" s="4">
        <v>44927</v>
      </c>
      <c r="D15" s="17">
        <v>7188</v>
      </c>
      <c r="E15" s="17">
        <v>3998.8</v>
      </c>
      <c r="F15" s="17">
        <f t="shared" si="0"/>
        <v>11186.8</v>
      </c>
      <c r="G15" s="17">
        <v>430.36</v>
      </c>
      <c r="H15" s="17">
        <f t="shared" si="1"/>
        <v>10756.439999999999</v>
      </c>
    </row>
    <row r="16" spans="2:8" x14ac:dyDescent="0.35">
      <c r="B16" s="2"/>
      <c r="C16" s="4">
        <v>44958</v>
      </c>
      <c r="D16" s="17">
        <v>8427.1</v>
      </c>
      <c r="E16" s="17">
        <v>4999.6000000000004</v>
      </c>
      <c r="F16" s="17">
        <f t="shared" si="0"/>
        <v>13426.7</v>
      </c>
      <c r="G16" s="17">
        <v>458.76</v>
      </c>
      <c r="H16" s="17">
        <f t="shared" si="1"/>
        <v>12967.94</v>
      </c>
    </row>
    <row r="17" spans="2:8" x14ac:dyDescent="0.35">
      <c r="B17" s="2"/>
      <c r="C17" s="4">
        <v>44986</v>
      </c>
      <c r="D17" s="17">
        <v>3393</v>
      </c>
      <c r="E17" s="17">
        <v>4163.6000000000004</v>
      </c>
      <c r="F17" s="17">
        <f t="shared" si="0"/>
        <v>7556.6</v>
      </c>
      <c r="G17" s="17">
        <v>512.29999999999995</v>
      </c>
      <c r="H17" s="17">
        <f t="shared" si="1"/>
        <v>7044.3</v>
      </c>
    </row>
    <row r="18" spans="2:8" x14ac:dyDescent="0.35">
      <c r="B18" s="2"/>
      <c r="C18" s="4">
        <v>45017</v>
      </c>
      <c r="D18" s="17">
        <v>5363.5</v>
      </c>
      <c r="E18" s="17">
        <v>4286</v>
      </c>
      <c r="F18" s="17">
        <f t="shared" si="0"/>
        <v>9649.5</v>
      </c>
      <c r="G18" s="17">
        <v>313.22000000000003</v>
      </c>
      <c r="H18" s="17">
        <f t="shared" si="1"/>
        <v>9336.2800000000007</v>
      </c>
    </row>
    <row r="19" spans="2:8" x14ac:dyDescent="0.35">
      <c r="B19" s="2"/>
      <c r="C19" s="4">
        <v>45047</v>
      </c>
      <c r="D19" s="17">
        <v>7907</v>
      </c>
      <c r="E19" s="17">
        <v>7487</v>
      </c>
      <c r="F19" s="17">
        <f t="shared" si="0"/>
        <v>15394</v>
      </c>
      <c r="G19" s="17">
        <v>526.14</v>
      </c>
      <c r="H19" s="17">
        <f t="shared" si="1"/>
        <v>14867.86</v>
      </c>
    </row>
    <row r="20" spans="2:8" x14ac:dyDescent="0.35">
      <c r="B20" s="2"/>
      <c r="C20" s="4">
        <v>45078</v>
      </c>
      <c r="D20" s="17">
        <v>3769.9</v>
      </c>
      <c r="E20" s="17">
        <v>5597</v>
      </c>
      <c r="F20" s="17">
        <f t="shared" si="0"/>
        <v>9366.9</v>
      </c>
      <c r="G20" s="17">
        <v>937.68</v>
      </c>
      <c r="H20" s="17">
        <f t="shared" si="1"/>
        <v>8429.2199999999993</v>
      </c>
    </row>
    <row r="21" spans="2:8" x14ac:dyDescent="0.35">
      <c r="B21" s="2"/>
      <c r="C21" s="4">
        <v>45108</v>
      </c>
      <c r="D21" s="17">
        <v>8577.2999999999993</v>
      </c>
      <c r="E21" s="17">
        <v>5407.2</v>
      </c>
      <c r="F21" s="17">
        <f t="shared" si="0"/>
        <v>13984.5</v>
      </c>
      <c r="G21" s="17">
        <v>515.1</v>
      </c>
      <c r="H21" s="17">
        <f t="shared" si="1"/>
        <v>13469.4</v>
      </c>
    </row>
    <row r="22" spans="2:8" x14ac:dyDescent="0.35">
      <c r="B22" s="3"/>
      <c r="C22" s="4">
        <v>45139</v>
      </c>
      <c r="D22" s="17">
        <v>8175.8</v>
      </c>
      <c r="E22" s="17">
        <v>5781.9</v>
      </c>
      <c r="F22" s="17">
        <f t="shared" si="0"/>
        <v>13957.7</v>
      </c>
      <c r="G22" s="17">
        <v>371.64</v>
      </c>
      <c r="H22" s="17">
        <f t="shared" si="1"/>
        <v>13586.060000000001</v>
      </c>
    </row>
    <row r="23" spans="2:8" x14ac:dyDescent="0.35">
      <c r="B23" s="2"/>
      <c r="C23" s="4">
        <v>45170</v>
      </c>
      <c r="D23" s="17">
        <v>5285.2</v>
      </c>
      <c r="E23" s="17">
        <v>5398.5</v>
      </c>
      <c r="F23" s="17">
        <f t="shared" si="0"/>
        <v>10683.7</v>
      </c>
      <c r="G23" s="17">
        <v>461.56</v>
      </c>
      <c r="H23" s="17">
        <f t="shared" si="1"/>
        <v>10222.140000000001</v>
      </c>
    </row>
    <row r="24" spans="2:8" x14ac:dyDescent="0.35">
      <c r="B24" s="2"/>
      <c r="C24" s="4">
        <v>45200</v>
      </c>
      <c r="D24" s="17">
        <v>3810.9</v>
      </c>
      <c r="E24" s="17">
        <v>5409.9</v>
      </c>
      <c r="F24" s="17">
        <f t="shared" si="0"/>
        <v>9220.7999999999993</v>
      </c>
      <c r="G24" s="17">
        <v>430</v>
      </c>
      <c r="H24" s="17">
        <f t="shared" si="1"/>
        <v>8790.7999999999993</v>
      </c>
    </row>
    <row r="25" spans="2:8" x14ac:dyDescent="0.35">
      <c r="B25" s="2"/>
      <c r="C25" s="4">
        <v>45231</v>
      </c>
      <c r="D25" s="17">
        <v>11082.4</v>
      </c>
      <c r="E25" s="17">
        <v>6737.5</v>
      </c>
      <c r="F25" s="17">
        <f t="shared" si="0"/>
        <v>17819.900000000001</v>
      </c>
      <c r="G25" s="17">
        <v>426.28</v>
      </c>
      <c r="H25" s="17">
        <f t="shared" si="1"/>
        <v>17393.620000000003</v>
      </c>
    </row>
    <row r="26" spans="2:8" x14ac:dyDescent="0.35">
      <c r="B26" s="2"/>
      <c r="C26" s="4">
        <v>45261</v>
      </c>
      <c r="D26" s="17">
        <v>3355</v>
      </c>
      <c r="E26" s="17">
        <v>5681.8</v>
      </c>
      <c r="F26" s="17">
        <f t="shared" si="0"/>
        <v>9036.7999999999993</v>
      </c>
      <c r="G26" s="17">
        <v>284.27999999999997</v>
      </c>
      <c r="H26" s="17">
        <f t="shared" si="1"/>
        <v>8752.5199999999986</v>
      </c>
    </row>
    <row r="27" spans="2:8" x14ac:dyDescent="0.35">
      <c r="B27" s="15">
        <v>2024</v>
      </c>
      <c r="C27" s="4">
        <v>45292</v>
      </c>
      <c r="D27" s="17">
        <v>9387.4</v>
      </c>
      <c r="E27" s="17">
        <v>2809.4</v>
      </c>
      <c r="F27" s="17">
        <f t="shared" si="0"/>
        <v>12196.8</v>
      </c>
      <c r="G27" s="17">
        <v>341.1</v>
      </c>
      <c r="H27" s="17">
        <f t="shared" si="1"/>
        <v>11855.699999999999</v>
      </c>
    </row>
    <row r="28" spans="2:8" x14ac:dyDescent="0.35">
      <c r="B28" s="2"/>
      <c r="C28" s="4">
        <v>45323</v>
      </c>
      <c r="D28" s="17">
        <v>8697.5</v>
      </c>
      <c r="E28" s="17">
        <v>5057.5</v>
      </c>
      <c r="F28" s="17">
        <f t="shared" si="0"/>
        <v>13755</v>
      </c>
      <c r="G28" s="17">
        <v>378.65999999999997</v>
      </c>
      <c r="H28" s="17">
        <f t="shared" si="1"/>
        <v>13376.34</v>
      </c>
    </row>
    <row r="29" spans="2:8" x14ac:dyDescent="0.35">
      <c r="B29" s="2"/>
      <c r="C29" s="4">
        <v>45352</v>
      </c>
      <c r="D29" s="17">
        <v>7831.7</v>
      </c>
      <c r="E29" s="17">
        <v>4168.8999999999996</v>
      </c>
      <c r="F29" s="17">
        <f t="shared" si="0"/>
        <v>12000.599999999999</v>
      </c>
      <c r="G29" s="17">
        <v>415.02</v>
      </c>
      <c r="H29" s="17">
        <f t="shared" si="1"/>
        <v>11585.579999999998</v>
      </c>
    </row>
    <row r="30" spans="2:8" x14ac:dyDescent="0.35">
      <c r="B30" s="2"/>
      <c r="C30" s="4">
        <v>45383</v>
      </c>
      <c r="D30" s="17">
        <v>9334</v>
      </c>
      <c r="E30" s="17">
        <v>7953</v>
      </c>
      <c r="F30" s="17">
        <f t="shared" si="0"/>
        <v>17287</v>
      </c>
      <c r="G30" s="17">
        <v>313.84000000000003</v>
      </c>
      <c r="H30" s="17">
        <f t="shared" si="1"/>
        <v>16973.16</v>
      </c>
    </row>
    <row r="31" spans="2:8" x14ac:dyDescent="0.35">
      <c r="B31" s="2"/>
      <c r="C31" s="4">
        <v>45413</v>
      </c>
      <c r="D31" s="17">
        <v>-3086</v>
      </c>
      <c r="E31" s="17">
        <v>6160.4</v>
      </c>
      <c r="F31" s="17">
        <f t="shared" si="0"/>
        <v>3074.3999999999996</v>
      </c>
      <c r="G31" s="17">
        <v>416.78</v>
      </c>
      <c r="H31" s="17">
        <f t="shared" si="1"/>
        <v>2657.62</v>
      </c>
    </row>
    <row r="32" spans="2:8" x14ac:dyDescent="0.35">
      <c r="B32" s="2"/>
      <c r="C32" s="4">
        <v>45444</v>
      </c>
      <c r="D32" s="17">
        <v>2893.1</v>
      </c>
      <c r="E32" s="17">
        <v>5582.9</v>
      </c>
      <c r="F32" s="17">
        <f t="shared" si="0"/>
        <v>8476</v>
      </c>
      <c r="G32" s="17">
        <v>429.7</v>
      </c>
      <c r="H32" s="17">
        <f t="shared" si="1"/>
        <v>8046.3</v>
      </c>
    </row>
    <row r="33" spans="2:8" x14ac:dyDescent="0.35">
      <c r="B33" s="2"/>
      <c r="C33" s="4">
        <v>45474</v>
      </c>
      <c r="D33" s="17">
        <v>6668.1</v>
      </c>
      <c r="E33" s="17">
        <v>5532.4</v>
      </c>
      <c r="F33" s="17">
        <f t="shared" si="0"/>
        <v>12200.5</v>
      </c>
      <c r="G33" s="17">
        <v>455.94</v>
      </c>
      <c r="H33" s="17">
        <f t="shared" si="1"/>
        <v>11744.56</v>
      </c>
    </row>
    <row r="34" spans="2:8" x14ac:dyDescent="0.35">
      <c r="B34" s="2"/>
      <c r="C34" s="4">
        <v>45505</v>
      </c>
      <c r="D34" s="17">
        <v>7120.8</v>
      </c>
      <c r="E34" s="17">
        <v>6435.2</v>
      </c>
      <c r="F34" s="17">
        <f t="shared" si="0"/>
        <v>13556</v>
      </c>
      <c r="G34" s="17">
        <v>357.7</v>
      </c>
      <c r="H34" s="17">
        <f t="shared" si="1"/>
        <v>13198.3</v>
      </c>
    </row>
    <row r="35" spans="2:8" x14ac:dyDescent="0.35">
      <c r="B35" s="2"/>
      <c r="C35" s="4">
        <v>45536</v>
      </c>
      <c r="D35" s="17">
        <v>2572.1999999999998</v>
      </c>
      <c r="E35" s="17">
        <v>5694.4</v>
      </c>
      <c r="F35" s="17">
        <f t="shared" si="0"/>
        <v>8266.5999999999985</v>
      </c>
      <c r="G35" s="17">
        <v>254.51999999999998</v>
      </c>
      <c r="H35" s="17">
        <f t="shared" si="1"/>
        <v>8012.0799999999981</v>
      </c>
    </row>
    <row r="36" spans="2:8" x14ac:dyDescent="0.35">
      <c r="B36" s="2"/>
      <c r="C36" s="4">
        <v>45566</v>
      </c>
      <c r="D36" s="17">
        <v>4478.3999999999996</v>
      </c>
      <c r="E36" s="17">
        <v>5685.8</v>
      </c>
      <c r="F36" s="17">
        <f t="shared" si="0"/>
        <v>10164.200000000001</v>
      </c>
      <c r="G36" s="17">
        <v>263.12</v>
      </c>
      <c r="H36" s="17">
        <f t="shared" si="1"/>
        <v>9901.08</v>
      </c>
    </row>
    <row r="37" spans="2:8" x14ac:dyDescent="0.35">
      <c r="B37" s="2"/>
      <c r="C37" s="4">
        <v>45597</v>
      </c>
      <c r="D37" s="17">
        <v>7065.7</v>
      </c>
      <c r="E37" s="17">
        <v>4677.7</v>
      </c>
      <c r="F37" s="17">
        <f t="shared" si="0"/>
        <v>11743.4</v>
      </c>
      <c r="G37" s="17">
        <v>269.24</v>
      </c>
      <c r="H37" s="17">
        <f t="shared" si="1"/>
        <v>11474.16</v>
      </c>
    </row>
    <row r="38" spans="2:8" x14ac:dyDescent="0.35">
      <c r="B38" s="2"/>
      <c r="C38" s="4">
        <v>45627</v>
      </c>
      <c r="D38" s="17">
        <v>2912</v>
      </c>
      <c r="E38" s="17">
        <v>5354.4</v>
      </c>
      <c r="F38" s="17">
        <f t="shared" si="0"/>
        <v>8266.4</v>
      </c>
      <c r="G38" s="17">
        <v>231.62</v>
      </c>
      <c r="H38" s="17">
        <f t="shared" si="1"/>
        <v>8034.78</v>
      </c>
    </row>
    <row r="39" spans="2:8" x14ac:dyDescent="0.35">
      <c r="B39" s="15">
        <v>2025</v>
      </c>
      <c r="C39" s="4">
        <v>45658</v>
      </c>
      <c r="D39" s="17">
        <v>6038.4</v>
      </c>
      <c r="E39" s="17">
        <v>3458.9</v>
      </c>
      <c r="F39" s="17">
        <f t="shared" si="0"/>
        <v>9497.2999999999993</v>
      </c>
      <c r="G39" s="17">
        <v>186.66</v>
      </c>
      <c r="H39" s="17">
        <f t="shared" si="1"/>
        <v>9310.64</v>
      </c>
    </row>
    <row r="40" spans="2:8" x14ac:dyDescent="0.35">
      <c r="B40" s="2"/>
      <c r="C40" s="4">
        <v>45689</v>
      </c>
      <c r="D40" s="17">
        <v>6754</v>
      </c>
      <c r="E40" s="17">
        <v>4406.7</v>
      </c>
      <c r="F40" s="17">
        <f t="shared" si="0"/>
        <v>11160.7</v>
      </c>
      <c r="G40" s="17">
        <v>173.64</v>
      </c>
      <c r="H40" s="17">
        <f t="shared" si="1"/>
        <v>10987.060000000001</v>
      </c>
    </row>
    <row r="41" spans="2:8" x14ac:dyDescent="0.35">
      <c r="B41" s="2"/>
      <c r="C41" s="4">
        <v>45717</v>
      </c>
      <c r="D41" s="17">
        <v>1229.9000000000001</v>
      </c>
      <c r="E41" s="17">
        <v>4712.3999999999996</v>
      </c>
      <c r="F41" s="17">
        <f t="shared" si="0"/>
        <v>5942.2999999999993</v>
      </c>
      <c r="G41" s="17">
        <v>124.76</v>
      </c>
      <c r="H41" s="17">
        <f t="shared" si="1"/>
        <v>5817.5399999999991</v>
      </c>
    </row>
    <row r="42" spans="2:8" x14ac:dyDescent="0.35">
      <c r="B42" s="2"/>
      <c r="C42" s="4">
        <v>45748</v>
      </c>
      <c r="D42" s="17">
        <v>4099.2</v>
      </c>
      <c r="E42" s="17">
        <v>4791.3999999999996</v>
      </c>
      <c r="F42" s="17">
        <f t="shared" si="0"/>
        <v>8890.5999999999985</v>
      </c>
      <c r="G42" s="17">
        <v>191.44</v>
      </c>
      <c r="H42" s="17">
        <f t="shared" si="1"/>
        <v>8699.159999999998</v>
      </c>
    </row>
    <row r="43" spans="2:8" x14ac:dyDescent="0.35">
      <c r="B43" s="2"/>
      <c r="C43" s="4">
        <v>45778</v>
      </c>
      <c r="D43" s="17">
        <v>5425.9</v>
      </c>
      <c r="E43" s="17">
        <v>6037</v>
      </c>
      <c r="F43" s="17">
        <f t="shared" si="0"/>
        <v>11462.9</v>
      </c>
      <c r="G43" s="17">
        <v>274.02</v>
      </c>
      <c r="H43" s="17">
        <f t="shared" si="1"/>
        <v>11188.88</v>
      </c>
    </row>
    <row r="44" spans="2:8" x14ac:dyDescent="0.35">
      <c r="B44" s="2"/>
      <c r="C44" s="4">
        <v>45809</v>
      </c>
      <c r="D44" s="17">
        <v>2816.3</v>
      </c>
      <c r="E44" s="17">
        <v>5239.5</v>
      </c>
      <c r="F44" s="17">
        <f t="shared" si="0"/>
        <v>8055.8</v>
      </c>
      <c r="G44" s="17">
        <v>235.04</v>
      </c>
      <c r="H44" s="17">
        <f t="shared" si="1"/>
        <v>7820.76</v>
      </c>
    </row>
    <row r="45" spans="2:8" x14ac:dyDescent="0.35">
      <c r="B45" s="2"/>
      <c r="C45" s="4">
        <v>45839</v>
      </c>
      <c r="D45" s="17">
        <v>7707.3</v>
      </c>
      <c r="E45" s="17">
        <v>6700.9</v>
      </c>
      <c r="F45" s="17">
        <f t="shared" si="0"/>
        <v>14408.2</v>
      </c>
      <c r="G45" s="17">
        <v>361.12</v>
      </c>
      <c r="H45" s="17">
        <f t="shared" si="1"/>
        <v>14047.08</v>
      </c>
    </row>
    <row r="46" spans="2:8" x14ac:dyDescent="0.35">
      <c r="B46" s="2"/>
      <c r="C46" s="4">
        <v>45870</v>
      </c>
      <c r="D46" s="17">
        <v>6034.9</v>
      </c>
      <c r="E46" s="17">
        <v>5585.1</v>
      </c>
      <c r="F46" s="17">
        <f t="shared" si="0"/>
        <v>11620</v>
      </c>
      <c r="G46" s="17">
        <v>382.47999999999996</v>
      </c>
      <c r="H46" s="17">
        <f t="shared" si="1"/>
        <v>11237.52</v>
      </c>
    </row>
    <row r="47" spans="2:8" x14ac:dyDescent="0.35">
      <c r="B47" s="2"/>
      <c r="C47" s="4">
        <v>45901</v>
      </c>
      <c r="D47" s="17">
        <v>2456.5</v>
      </c>
      <c r="E47" s="17">
        <v>4385.3</v>
      </c>
      <c r="F47" s="17">
        <f t="shared" si="0"/>
        <v>6841.8</v>
      </c>
      <c r="G47" s="17">
        <v>274.44</v>
      </c>
      <c r="H47" s="17">
        <f t="shared" si="1"/>
        <v>6567.3600000000006</v>
      </c>
    </row>
    <row r="48" spans="2:8" x14ac:dyDescent="0.35">
      <c r="B48" s="2"/>
      <c r="C48" s="4">
        <v>45931</v>
      </c>
      <c r="D48" s="17">
        <v>4630.1000000000004</v>
      </c>
      <c r="E48" s="17">
        <v>5500.9</v>
      </c>
      <c r="F48" s="17">
        <f t="shared" si="0"/>
        <v>10131</v>
      </c>
      <c r="G48" s="17">
        <v>247</v>
      </c>
      <c r="H48" s="17">
        <f t="shared" si="1"/>
        <v>9884</v>
      </c>
    </row>
    <row r="49" spans="2:8" x14ac:dyDescent="0.35">
      <c r="B49" s="2"/>
      <c r="C49" s="4">
        <v>45962</v>
      </c>
      <c r="D49" s="17">
        <v>4733.2</v>
      </c>
      <c r="E49" s="17">
        <v>4739</v>
      </c>
      <c r="F49" s="17">
        <f t="shared" si="0"/>
        <v>9472.2000000000007</v>
      </c>
      <c r="G49" s="17">
        <v>223.38</v>
      </c>
      <c r="H49" s="17">
        <f t="shared" si="1"/>
        <v>9248.8200000000015</v>
      </c>
    </row>
    <row r="50" spans="2:8" x14ac:dyDescent="0.35">
      <c r="B50" s="2"/>
      <c r="C50" s="4">
        <v>45992</v>
      </c>
      <c r="D50" s="17">
        <v>2480.6</v>
      </c>
      <c r="E50" s="17">
        <v>5371.8</v>
      </c>
      <c r="F50" s="17">
        <f t="shared" si="0"/>
        <v>7852.4</v>
      </c>
      <c r="G50" s="17">
        <v>242.16</v>
      </c>
      <c r="H50" s="17">
        <f t="shared" si="1"/>
        <v>7610.24</v>
      </c>
    </row>
    <row r="51" spans="2:8" x14ac:dyDescent="0.35">
      <c r="B51" s="15">
        <v>2026</v>
      </c>
      <c r="C51" s="4">
        <v>46023</v>
      </c>
      <c r="D51" s="17">
        <v>7016.8</v>
      </c>
      <c r="E51" s="17">
        <v>3818</v>
      </c>
      <c r="F51" s="17">
        <f t="shared" si="0"/>
        <v>10834.8</v>
      </c>
      <c r="G51" s="17">
        <v>250.14</v>
      </c>
      <c r="H51" s="17">
        <f t="shared" si="1"/>
        <v>10584.66</v>
      </c>
    </row>
    <row r="52" spans="2:8" x14ac:dyDescent="0.35">
      <c r="C52" s="4">
        <v>46054</v>
      </c>
      <c r="D52" s="17">
        <v>6668.8</v>
      </c>
      <c r="E52" s="17">
        <v>4307.7</v>
      </c>
      <c r="F52" s="17">
        <f t="shared" si="0"/>
        <v>10976.5</v>
      </c>
      <c r="G52" s="17">
        <v>402.15999999999997</v>
      </c>
      <c r="H52" s="17">
        <f t="shared" si="1"/>
        <v>10574.34</v>
      </c>
    </row>
    <row r="53" spans="2:8" x14ac:dyDescent="0.35">
      <c r="C53" s="4">
        <v>46082</v>
      </c>
      <c r="D53" s="17">
        <v>1952.9</v>
      </c>
      <c r="E53" s="17">
        <v>4691.8999999999996</v>
      </c>
      <c r="F53" s="17">
        <f t="shared" si="0"/>
        <v>6644.7999999999993</v>
      </c>
      <c r="G53" s="17">
        <v>231.94</v>
      </c>
      <c r="H53" s="17">
        <f t="shared" si="1"/>
        <v>6412.86</v>
      </c>
    </row>
    <row r="54" spans="2:8" x14ac:dyDescent="0.35">
      <c r="D54" s="1"/>
      <c r="E5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477D-E712-4CFE-939F-CB154E62B54A}">
  <dimension ref="B2:D50"/>
  <sheetViews>
    <sheetView tabSelected="1" workbookViewId="0">
      <selection activeCell="E7" sqref="E7"/>
    </sheetView>
  </sheetViews>
  <sheetFormatPr defaultRowHeight="14.5" x14ac:dyDescent="0.35"/>
  <cols>
    <col min="4" max="4" width="26.54296875" bestFit="1" customWidth="1"/>
    <col min="5" max="5" width="11.36328125" customWidth="1"/>
  </cols>
  <sheetData>
    <row r="2" spans="2:4" x14ac:dyDescent="0.35">
      <c r="B2" s="11" t="s">
        <v>0</v>
      </c>
      <c r="C2" s="11" t="s">
        <v>1</v>
      </c>
      <c r="D2" s="11" t="s">
        <v>4</v>
      </c>
    </row>
    <row r="3" spans="2:4" x14ac:dyDescent="0.35">
      <c r="B3" s="12">
        <v>2022</v>
      </c>
      <c r="C3" s="4">
        <v>44652</v>
      </c>
      <c r="D3" s="13">
        <v>40795</v>
      </c>
    </row>
    <row r="4" spans="2:4" x14ac:dyDescent="0.35">
      <c r="B4" s="2"/>
      <c r="C4" s="4">
        <v>44682</v>
      </c>
      <c r="D4" s="13">
        <v>64032</v>
      </c>
    </row>
    <row r="5" spans="2:4" x14ac:dyDescent="0.35">
      <c r="B5" s="2"/>
      <c r="C5" s="4">
        <v>44713</v>
      </c>
      <c r="D5" s="13">
        <v>48184</v>
      </c>
    </row>
    <row r="6" spans="2:4" x14ac:dyDescent="0.35">
      <c r="B6" s="2"/>
      <c r="C6" s="4">
        <v>44743</v>
      </c>
      <c r="D6" s="13">
        <v>63480</v>
      </c>
    </row>
    <row r="7" spans="2:4" x14ac:dyDescent="0.35">
      <c r="B7" s="2"/>
      <c r="C7" s="4">
        <v>44774</v>
      </c>
      <c r="D7" s="13">
        <v>72824</v>
      </c>
    </row>
    <row r="8" spans="2:4" x14ac:dyDescent="0.35">
      <c r="B8" s="2"/>
      <c r="C8" s="4">
        <v>44805</v>
      </c>
      <c r="D8" s="13">
        <v>33194</v>
      </c>
    </row>
    <row r="9" spans="2:4" x14ac:dyDescent="0.35">
      <c r="B9" s="2"/>
      <c r="C9" s="4">
        <v>44835</v>
      </c>
      <c r="D9" s="13">
        <v>44736</v>
      </c>
    </row>
    <row r="10" spans="2:4" x14ac:dyDescent="0.35">
      <c r="B10" s="2"/>
      <c r="C10" s="4">
        <v>44866</v>
      </c>
      <c r="D10" s="13">
        <v>39924</v>
      </c>
    </row>
    <row r="11" spans="2:4" x14ac:dyDescent="0.35">
      <c r="B11" s="2"/>
      <c r="C11" s="4">
        <v>44896</v>
      </c>
      <c r="D11" s="13">
        <v>21125</v>
      </c>
    </row>
    <row r="12" spans="2:4" x14ac:dyDescent="0.35">
      <c r="B12" s="12">
        <v>2023</v>
      </c>
      <c r="C12" s="4">
        <v>44927</v>
      </c>
      <c r="D12" s="13">
        <v>36210</v>
      </c>
    </row>
    <row r="13" spans="2:4" x14ac:dyDescent="0.35">
      <c r="B13" s="2"/>
      <c r="C13" s="4">
        <v>44958</v>
      </c>
      <c r="D13" s="13">
        <v>36605</v>
      </c>
    </row>
    <row r="14" spans="2:4" x14ac:dyDescent="0.35">
      <c r="B14" s="2"/>
      <c r="C14" s="4">
        <v>44986</v>
      </c>
      <c r="D14" s="13">
        <v>23575</v>
      </c>
    </row>
    <row r="15" spans="2:4" x14ac:dyDescent="0.35">
      <c r="B15" s="2"/>
      <c r="C15" s="4">
        <v>45017</v>
      </c>
      <c r="D15" s="13">
        <v>35475</v>
      </c>
    </row>
    <row r="16" spans="2:4" x14ac:dyDescent="0.35">
      <c r="B16" s="2"/>
      <c r="C16" s="4">
        <v>45047</v>
      </c>
      <c r="D16" s="13">
        <v>52520</v>
      </c>
    </row>
    <row r="17" spans="2:4" x14ac:dyDescent="0.35">
      <c r="B17" s="2"/>
      <c r="C17" s="4">
        <v>45078</v>
      </c>
      <c r="D17" s="13">
        <v>38505</v>
      </c>
    </row>
    <row r="18" spans="2:4" x14ac:dyDescent="0.35">
      <c r="B18" s="2"/>
      <c r="C18" s="4">
        <v>45108</v>
      </c>
      <c r="D18" s="13">
        <v>39610</v>
      </c>
    </row>
    <row r="19" spans="2:4" x14ac:dyDescent="0.35">
      <c r="B19" s="3"/>
      <c r="C19" s="4">
        <v>45139</v>
      </c>
      <c r="D19" s="13">
        <v>38620</v>
      </c>
    </row>
    <row r="20" spans="2:4" x14ac:dyDescent="0.35">
      <c r="B20" s="2"/>
      <c r="C20" s="4">
        <v>45170</v>
      </c>
      <c r="D20" s="13">
        <v>20910</v>
      </c>
    </row>
    <row r="21" spans="2:4" x14ac:dyDescent="0.35">
      <c r="B21" s="2"/>
      <c r="C21" s="4">
        <v>45200</v>
      </c>
      <c r="D21" s="13">
        <v>35210</v>
      </c>
    </row>
    <row r="22" spans="2:4" x14ac:dyDescent="0.35">
      <c r="B22" s="2"/>
      <c r="C22" s="4">
        <v>45231</v>
      </c>
      <c r="D22" s="13">
        <v>39055</v>
      </c>
    </row>
    <row r="23" spans="2:4" x14ac:dyDescent="0.35">
      <c r="B23" s="2"/>
      <c r="C23" s="4">
        <v>45261</v>
      </c>
      <c r="D23" s="13">
        <v>21395</v>
      </c>
    </row>
    <row r="24" spans="2:4" x14ac:dyDescent="0.35">
      <c r="B24" s="12">
        <v>2024</v>
      </c>
      <c r="C24" s="4">
        <v>45292</v>
      </c>
      <c r="D24" s="13">
        <v>40845</v>
      </c>
    </row>
    <row r="25" spans="2:4" x14ac:dyDescent="0.35">
      <c r="B25" s="2"/>
      <c r="C25" s="4">
        <v>45323</v>
      </c>
      <c r="D25" s="13">
        <v>30450</v>
      </c>
    </row>
    <row r="26" spans="2:4" x14ac:dyDescent="0.35">
      <c r="B26" s="2"/>
      <c r="C26" s="4">
        <v>45352</v>
      </c>
      <c r="D26" s="13">
        <v>30260</v>
      </c>
    </row>
    <row r="27" spans="2:4" x14ac:dyDescent="0.35">
      <c r="B27" s="2"/>
      <c r="C27" s="4">
        <v>45383</v>
      </c>
      <c r="D27" s="13">
        <v>32065</v>
      </c>
    </row>
    <row r="28" spans="2:4" x14ac:dyDescent="0.35">
      <c r="B28" s="2"/>
      <c r="C28" s="4">
        <v>45413</v>
      </c>
      <c r="D28" s="13">
        <v>46855</v>
      </c>
    </row>
    <row r="29" spans="2:4" x14ac:dyDescent="0.35">
      <c r="B29" s="2"/>
      <c r="C29" s="4">
        <v>45444</v>
      </c>
      <c r="D29" s="13">
        <v>23375</v>
      </c>
    </row>
    <row r="30" spans="2:4" x14ac:dyDescent="0.35">
      <c r="B30" s="2"/>
      <c r="C30" s="4">
        <v>45474</v>
      </c>
      <c r="D30" s="13">
        <v>44285</v>
      </c>
    </row>
    <row r="31" spans="2:4" x14ac:dyDescent="0.35">
      <c r="B31" s="2"/>
      <c r="C31" s="4">
        <v>45505</v>
      </c>
      <c r="D31" s="13">
        <v>34230</v>
      </c>
    </row>
    <row r="32" spans="2:4" x14ac:dyDescent="0.35">
      <c r="B32" s="2"/>
      <c r="C32" s="4">
        <v>45536</v>
      </c>
      <c r="D32" s="13">
        <v>25315</v>
      </c>
    </row>
    <row r="33" spans="2:4" x14ac:dyDescent="0.35">
      <c r="B33" s="2"/>
      <c r="C33" s="4">
        <v>45566</v>
      </c>
      <c r="D33" s="13">
        <v>35860</v>
      </c>
    </row>
    <row r="34" spans="2:4" x14ac:dyDescent="0.35">
      <c r="B34" s="2"/>
      <c r="C34" s="4">
        <v>45597</v>
      </c>
      <c r="D34" s="13">
        <v>45730</v>
      </c>
    </row>
    <row r="35" spans="2:4" x14ac:dyDescent="0.35">
      <c r="B35" s="2"/>
      <c r="C35" s="4">
        <v>45627</v>
      </c>
      <c r="D35" s="13">
        <v>23840</v>
      </c>
    </row>
    <row r="36" spans="2:4" x14ac:dyDescent="0.35">
      <c r="B36" s="12">
        <v>2025</v>
      </c>
      <c r="C36" s="4">
        <v>45658</v>
      </c>
      <c r="D36" s="13">
        <v>34185</v>
      </c>
    </row>
    <row r="37" spans="2:4" x14ac:dyDescent="0.35">
      <c r="B37" s="2"/>
      <c r="C37" s="4">
        <v>45689</v>
      </c>
      <c r="D37" s="13">
        <v>27170</v>
      </c>
    </row>
    <row r="38" spans="2:4" x14ac:dyDescent="0.35">
      <c r="B38" s="2"/>
      <c r="C38" s="4">
        <v>45717</v>
      </c>
      <c r="D38" s="13">
        <v>19975</v>
      </c>
    </row>
    <row r="39" spans="2:4" x14ac:dyDescent="0.35">
      <c r="B39" s="2"/>
      <c r="C39" s="4">
        <v>45748</v>
      </c>
      <c r="D39" s="13">
        <v>32480</v>
      </c>
    </row>
    <row r="40" spans="2:4" x14ac:dyDescent="0.35">
      <c r="B40" s="2"/>
      <c r="C40" s="4">
        <v>45778</v>
      </c>
      <c r="D40" s="13">
        <v>40808</v>
      </c>
    </row>
    <row r="41" spans="2:4" x14ac:dyDescent="0.35">
      <c r="B41" s="2"/>
      <c r="C41" s="4">
        <v>45809</v>
      </c>
      <c r="D41" s="13">
        <v>25105</v>
      </c>
    </row>
    <row r="42" spans="2:4" x14ac:dyDescent="0.35">
      <c r="B42" s="2"/>
      <c r="C42" s="4">
        <v>45839</v>
      </c>
      <c r="D42" s="13">
        <v>34345</v>
      </c>
    </row>
    <row r="43" spans="2:4" x14ac:dyDescent="0.35">
      <c r="B43" s="2"/>
      <c r="C43" s="4">
        <v>45870</v>
      </c>
      <c r="D43" s="13">
        <v>24586</v>
      </c>
    </row>
    <row r="44" spans="2:4" x14ac:dyDescent="0.35">
      <c r="B44" s="2"/>
      <c r="C44" s="4">
        <v>45901</v>
      </c>
      <c r="D44" s="13">
        <v>15136</v>
      </c>
    </row>
    <row r="45" spans="2:4" x14ac:dyDescent="0.35">
      <c r="B45" s="2"/>
      <c r="C45" s="4">
        <v>45931</v>
      </c>
      <c r="D45" s="13">
        <v>26426</v>
      </c>
    </row>
    <row r="46" spans="2:4" x14ac:dyDescent="0.35">
      <c r="B46" s="2"/>
      <c r="C46" s="4">
        <v>45962</v>
      </c>
      <c r="D46" s="13">
        <v>36172</v>
      </c>
    </row>
    <row r="47" spans="2:4" x14ac:dyDescent="0.35">
      <c r="B47" s="2"/>
      <c r="C47" s="4">
        <v>45992</v>
      </c>
      <c r="D47" s="13">
        <v>18720</v>
      </c>
    </row>
    <row r="48" spans="2:4" x14ac:dyDescent="0.35">
      <c r="B48" s="12">
        <v>2026</v>
      </c>
      <c r="C48" s="4">
        <v>46023</v>
      </c>
      <c r="D48" s="13">
        <v>35802</v>
      </c>
    </row>
    <row r="49" spans="3:4" x14ac:dyDescent="0.35">
      <c r="C49" s="4">
        <v>46054</v>
      </c>
      <c r="D49" s="13">
        <v>26246</v>
      </c>
    </row>
    <row r="50" spans="3:4" x14ac:dyDescent="0.35">
      <c r="C50" s="4">
        <v>46082</v>
      </c>
      <c r="D50" s="13">
        <v>19871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5ec627-a3d7-4544-8c26-d34fce24e371}" enabled="1" method="Privilege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</vt:lpstr>
      <vt:lpstr>Solar</vt:lpstr>
      <vt:lpstr>Water</vt:lpstr>
      <vt:lpstr>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Manjing (RP)</dc:creator>
  <cp:lastModifiedBy>Dai Manjing (RP)</cp:lastModifiedBy>
  <dcterms:created xsi:type="dcterms:W3CDTF">2015-06-05T18:17:20Z</dcterms:created>
  <dcterms:modified xsi:type="dcterms:W3CDTF">2026-05-13T01:55:35Z</dcterms:modified>
</cp:coreProperties>
</file>