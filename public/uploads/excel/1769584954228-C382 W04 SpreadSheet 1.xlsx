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3046904\Desktop\RP AY2025 Year 3\C382 IT Service Delivery\LLP2\"/>
    </mc:Choice>
  </mc:AlternateContent>
  <xr:revisionPtr revIDLastSave="0" documentId="13_ncr:1_{7EA04EC3-48E8-41C2-9657-0EEA54ABB5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Y2025" sheetId="7" r:id="rId1"/>
    <sheet name="For Boss" sheetId="8" r:id="rId2"/>
    <sheet name="AY1213 Sem1 Thong Hwee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4" i="7" l="1"/>
  <c r="C19" i="8"/>
  <c r="C23" i="8" s="1"/>
  <c r="D19" i="8"/>
  <c r="D23" i="8" s="1"/>
  <c r="F14" i="7"/>
  <c r="B23" i="8"/>
  <c r="C11" i="8"/>
  <c r="E17" i="7"/>
  <c r="D21" i="8"/>
  <c r="F12" i="7"/>
  <c r="E12" i="7"/>
  <c r="D4" i="8"/>
  <c r="F11" i="7"/>
  <c r="F5" i="7"/>
  <c r="D22" i="8"/>
  <c r="F4" i="7"/>
  <c r="D8" i="8"/>
  <c r="C8" i="8"/>
  <c r="C22" i="8"/>
  <c r="B22" i="8"/>
  <c r="D12" i="8"/>
  <c r="F3" i="7"/>
  <c r="E3" i="7"/>
  <c r="C21" i="8"/>
  <c r="D20" i="8"/>
  <c r="D18" i="8"/>
  <c r="D17" i="8"/>
  <c r="D15" i="8"/>
  <c r="D14" i="8"/>
  <c r="D11" i="8"/>
  <c r="D5" i="8"/>
  <c r="C5" i="8"/>
  <c r="F17" i="7"/>
  <c r="E15" i="7"/>
  <c r="F13" i="7"/>
  <c r="F9" i="7"/>
  <c r="E9" i="7"/>
  <c r="F8" i="7"/>
  <c r="E11" i="7"/>
  <c r="F7" i="7"/>
  <c r="F6" i="7"/>
  <c r="E4" i="7"/>
  <c r="F2" i="7"/>
  <c r="F10" i="2"/>
  <c r="F12" i="2"/>
  <c r="E12" i="2"/>
  <c r="F9" i="2"/>
  <c r="E20" i="2"/>
  <c r="F20" i="2" s="1"/>
  <c r="E19" i="2"/>
  <c r="F19" i="2" s="1"/>
  <c r="E18" i="2"/>
  <c r="F18" i="2" s="1"/>
  <c r="E17" i="2"/>
  <c r="F17" i="2" s="1"/>
  <c r="E14" i="2"/>
  <c r="F14" i="2"/>
  <c r="E11" i="2"/>
  <c r="F11" i="2" s="1"/>
  <c r="E10" i="2"/>
  <c r="E8" i="2"/>
  <c r="F8" i="2" s="1"/>
  <c r="E7" i="2"/>
  <c r="F7" i="2" s="1"/>
  <c r="E6" i="2"/>
  <c r="F6" i="2"/>
  <c r="E5" i="2"/>
  <c r="F5" i="2" s="1"/>
  <c r="E9" i="2"/>
  <c r="E13" i="2"/>
  <c r="F13" i="2" s="1"/>
  <c r="E15" i="2"/>
  <c r="F15" i="2" s="1"/>
  <c r="E16" i="2"/>
  <c r="F16" i="2" s="1"/>
  <c r="E4" i="2"/>
  <c r="F4" i="2" s="1"/>
  <c r="E3" i="2"/>
  <c r="F3" i="2" s="1"/>
  <c r="H15" i="2"/>
  <c r="H13" i="2"/>
  <c r="H5" i="2"/>
  <c r="B23" i="2"/>
  <c r="C23" i="2" s="1"/>
  <c r="F21" i="2" l="1"/>
  <c r="E21" i="2"/>
  <c r="H21" i="2" l="1"/>
</calcChain>
</file>

<file path=xl/sharedStrings.xml><?xml version="1.0" encoding="utf-8"?>
<sst xmlns="http://schemas.openxmlformats.org/spreadsheetml/2006/main" count="149" uniqueCount="88">
  <si>
    <t>Cost</t>
  </si>
  <si>
    <t>Hardware</t>
  </si>
  <si>
    <t>UNIX Server</t>
  </si>
  <si>
    <t>Software</t>
  </si>
  <si>
    <t>Manager</t>
  </si>
  <si>
    <t>Operator</t>
  </si>
  <si>
    <t>Computer Room</t>
  </si>
  <si>
    <t>External Service</t>
  </si>
  <si>
    <t>Total</t>
  </si>
  <si>
    <t>Item</t>
  </si>
  <si>
    <t>NA</t>
  </si>
  <si>
    <t>Senior Executive</t>
  </si>
  <si>
    <t>10% of the costs</t>
  </si>
  <si>
    <t>Office Space</t>
  </si>
  <si>
    <t>Remarks</t>
  </si>
  <si>
    <t>Fixed annual payment</t>
  </si>
  <si>
    <t>No increase anticipated for next year</t>
  </si>
  <si>
    <t>Yearly subscription charge</t>
  </si>
  <si>
    <t>Windows Server</t>
  </si>
  <si>
    <t>Linux Server</t>
  </si>
  <si>
    <t>Red Hat Enterprise Linux</t>
  </si>
  <si>
    <t>Marketing &amp; Sales Application</t>
  </si>
  <si>
    <t>DR Contract</t>
  </si>
  <si>
    <t>Wide Area Connection</t>
  </si>
  <si>
    <t>Anticipated 5% pay rise</t>
  </si>
  <si>
    <t>Anticipated 8% rise in charges</t>
  </si>
  <si>
    <t>Annual Maintenance/Expense</t>
  </si>
  <si>
    <t>Annual Expense</t>
  </si>
  <si>
    <t>MS Office (50-user)</t>
  </si>
  <si>
    <t>MS Outlook (50-user)</t>
  </si>
  <si>
    <t>MS Windows 7 (50-user)</t>
  </si>
  <si>
    <t>Fixed price, valid till 2014</t>
  </si>
  <si>
    <t>Laptops (50)</t>
  </si>
  <si>
    <t>Yearly subscription/support charge</t>
  </si>
  <si>
    <t>Staff to increase from 50 to 56</t>
  </si>
  <si>
    <t>Fixed 3-year contract until 2013</t>
  </si>
  <si>
    <t>Anticipated 10% rise in charges</t>
  </si>
  <si>
    <t>Anticipated 6% pay rise</t>
  </si>
  <si>
    <t>Routers (4)</t>
  </si>
  <si>
    <t>ORACLE Database</t>
  </si>
  <si>
    <t>outlook</t>
  </si>
  <si>
    <t>Challenge</t>
  </si>
  <si>
    <t>Spent this year</t>
  </si>
  <si>
    <t>Budget for next yr</t>
  </si>
  <si>
    <t>Just joined on 1st Jul 2012</t>
  </si>
  <si>
    <t>Diff</t>
  </si>
  <si>
    <t>Laptop Purchase</t>
  </si>
  <si>
    <t>Adhoc Basis</t>
  </si>
  <si>
    <t>Senior IT Executive (1)</t>
  </si>
  <si>
    <t>IT Operator (1)</t>
  </si>
  <si>
    <t>IT Manager (1)</t>
  </si>
  <si>
    <t>Item (number of units this year, where applicable)</t>
  </si>
  <si>
    <t>XXXXX</t>
  </si>
  <si>
    <t>Disaster Recovery Contract</t>
  </si>
  <si>
    <t>Staff</t>
  </si>
  <si>
    <t>Overhead</t>
  </si>
  <si>
    <t>Business Broadband</t>
  </si>
  <si>
    <t>Oracle Database</t>
  </si>
  <si>
    <t>AWS Cloud Storage</t>
  </si>
  <si>
    <t xml:space="preserve">Assumptions: </t>
  </si>
  <si>
    <t>1. Each item expenditure is for the full year (Jan to Dec), unless otherwise stated.</t>
  </si>
  <si>
    <t>2. Each staff is issued only one laptop for use.</t>
  </si>
  <si>
    <t>3. Laptop maintenance (Gold support) includes free replacement of defective components, regular system updates and security updates.</t>
  </si>
  <si>
    <t>20% of the costs</t>
  </si>
  <si>
    <t>No increase anticipated for next year.</t>
  </si>
  <si>
    <t>Expenses for This Year</t>
  </si>
  <si>
    <t>Budget for Next Year</t>
  </si>
  <si>
    <t>Yearly subscription charge for the Cloud service.  New contract due next year; expected 12% rise in subscription charges</t>
  </si>
  <si>
    <t>Routers (6 pcs)</t>
  </si>
  <si>
    <t>Started in March this year. Price to remain the same for the next 3 years.</t>
  </si>
  <si>
    <t>Anticipated 10% pay raise for next year.</t>
  </si>
  <si>
    <t>Anticipated 23% rise in charges for next year.</t>
  </si>
  <si>
    <t>15% of the costs</t>
  </si>
  <si>
    <t>SaaS Subscription - Office 365 (180 users)</t>
  </si>
  <si>
    <t>$15/user/month. Staff to increase by 20 for next year.</t>
  </si>
  <si>
    <t>Contracted for 3 years and fixed payment until end of 2025. New contract expected in 2026, expected increase by $1100.</t>
  </si>
  <si>
    <t>Anticipated 3% rise in rental charges for next year.</t>
  </si>
  <si>
    <t>MS Windows 11 (180 laptops)</t>
  </si>
  <si>
    <t>Yearly subscription/support charge for 180 laptops.  Staff to increase by 25 for next year.</t>
  </si>
  <si>
    <t>Just joined on 1st August 2025. No performance appraisal till December 2026, hence no pay rise anticipated until end of next year.</t>
  </si>
  <si>
    <t>No laptop purchased this year. Staff to increase by 25 for next year.</t>
  </si>
  <si>
    <t>Laptop Maintenance (180 laptops)</t>
  </si>
  <si>
    <t>10% of the laptop cost</t>
  </si>
  <si>
    <t>Current maintenance paid for Gold support. Upgrade from 3 working day response time to 3 hours response time. Otherwise standard warranty is only for 3 days response.</t>
  </si>
  <si>
    <t>Monthly charges of $0.025/GB for first 50 TB Started in April this year. Organisation requires 30 TB this year &amp; then 40 TB every year thereafter. (Assume that its consumption is linear across the whole year.)</t>
  </si>
  <si>
    <t>Depreciation in writing off the item. Life expectancy of server: 5 years. This is the 3rd year.</t>
  </si>
  <si>
    <t>Yearly subscription/support charge. No change anticipated for next year.</t>
  </si>
  <si>
    <t>Given 5% pay rise for this year (starting from July).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</si>
</sst>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_);[Red]\(&quot;$&quot;#,##0.0\)"/>
    <numFmt numFmtId="166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1" xfId="0" applyFill="1" applyBorder="1"/>
    <xf numFmtId="0" fontId="3" fillId="0" borderId="2" xfId="0" applyFont="1" applyBorder="1" applyAlignment="1">
      <alignment vertical="top" wrapText="1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0" fillId="0" borderId="5" xfId="0" applyBorder="1" applyAlignment="1">
      <alignment horizontal="center"/>
    </xf>
    <xf numFmtId="164" fontId="3" fillId="0" borderId="1" xfId="0" applyNumberFormat="1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164" fontId="3" fillId="0" borderId="4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164" fontId="3" fillId="0" borderId="7" xfId="0" applyNumberFormat="1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/>
    </xf>
    <xf numFmtId="0" fontId="4" fillId="3" borderId="6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164" fontId="0" fillId="0" borderId="0" xfId="0" applyNumberFormat="1"/>
    <xf numFmtId="0" fontId="5" fillId="0" borderId="4" xfId="0" applyFont="1" applyBorder="1" applyAlignment="1">
      <alignment vertical="top" wrapText="1"/>
    </xf>
    <xf numFmtId="0" fontId="6" fillId="2" borderId="1" xfId="0" applyFont="1" applyFill="1" applyBorder="1" applyAlignment="1">
      <alignment horizontal="center"/>
    </xf>
    <xf numFmtId="164" fontId="5" fillId="0" borderId="9" xfId="0" applyNumberFormat="1" applyFont="1" applyBorder="1" applyAlignment="1">
      <alignment horizontal="center" vertical="top" wrapText="1"/>
    </xf>
    <xf numFmtId="164" fontId="5" fillId="0" borderId="4" xfId="0" applyNumberFormat="1" applyFont="1" applyBorder="1" applyAlignment="1">
      <alignment horizontal="center" vertical="top" wrapText="1"/>
    </xf>
    <xf numFmtId="0" fontId="5" fillId="0" borderId="6" xfId="0" applyFont="1" applyBorder="1" applyAlignment="1">
      <alignment vertical="top" wrapText="1"/>
    </xf>
    <xf numFmtId="0" fontId="1" fillId="2" borderId="0" xfId="0" applyFont="1" applyFill="1" applyAlignment="1">
      <alignment horizontal="center"/>
    </xf>
    <xf numFmtId="165" fontId="3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5" fontId="0" fillId="0" borderId="0" xfId="0" applyNumberFormat="1"/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top" wrapText="1"/>
    </xf>
    <xf numFmtId="0" fontId="2" fillId="0" borderId="0" xfId="0" applyFont="1"/>
    <xf numFmtId="0" fontId="3" fillId="4" borderId="1" xfId="0" applyFont="1" applyFill="1" applyBorder="1" applyAlignment="1">
      <alignment vertical="top" wrapText="1"/>
    </xf>
    <xf numFmtId="164" fontId="2" fillId="4" borderId="0" xfId="0" applyNumberFormat="1" applyFont="1" applyFill="1" applyAlignment="1">
      <alignment vertical="top" wrapText="1"/>
    </xf>
    <xf numFmtId="165" fontId="2" fillId="4" borderId="0" xfId="0" applyNumberFormat="1" applyFont="1" applyFill="1" applyAlignment="1">
      <alignment vertical="top" wrapText="1"/>
    </xf>
    <xf numFmtId="0" fontId="3" fillId="3" borderId="6" xfId="0" applyFont="1" applyFill="1" applyBorder="1" applyAlignment="1">
      <alignment horizontal="center" vertical="top" wrapText="1"/>
    </xf>
    <xf numFmtId="164" fontId="3" fillId="3" borderId="6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6" fillId="6" borderId="9" xfId="0" applyFont="1" applyFill="1" applyBorder="1" applyAlignment="1">
      <alignment vertical="top" wrapText="1"/>
    </xf>
    <xf numFmtId="164" fontId="6" fillId="6" borderId="3" xfId="0" applyNumberFormat="1" applyFont="1" applyFill="1" applyBorder="1" applyAlignment="1">
      <alignment horizontal="center" vertical="top" wrapText="1"/>
    </xf>
    <xf numFmtId="164" fontId="6" fillId="6" borderId="11" xfId="0" applyNumberFormat="1" applyFont="1" applyFill="1" applyBorder="1" applyAlignment="1">
      <alignment horizontal="center" vertical="top" wrapText="1"/>
    </xf>
    <xf numFmtId="0" fontId="6" fillId="7" borderId="0" xfId="0" applyFont="1" applyFill="1" applyAlignment="1">
      <alignment vertical="top" wrapText="1"/>
    </xf>
    <xf numFmtId="164" fontId="6" fillId="7" borderId="0" xfId="0" applyNumberFormat="1" applyFont="1" applyFill="1" applyAlignment="1">
      <alignment horizontal="center" vertical="top" wrapText="1"/>
    </xf>
    <xf numFmtId="0" fontId="0" fillId="7" borderId="0" xfId="0" applyFill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8" fillId="7" borderId="0" xfId="0" applyFont="1" applyFill="1" applyAlignment="1">
      <alignment vertical="top"/>
    </xf>
    <xf numFmtId="164" fontId="8" fillId="7" borderId="0" xfId="0" applyNumberFormat="1" applyFont="1" applyFill="1" applyAlignment="1">
      <alignment vertical="top"/>
    </xf>
    <xf numFmtId="164" fontId="8" fillId="0" borderId="0" xfId="0" applyNumberFormat="1" applyFont="1" applyAlignment="1">
      <alignment vertical="top"/>
    </xf>
    <xf numFmtId="0" fontId="9" fillId="7" borderId="0" xfId="0" applyFont="1" applyFill="1" applyAlignment="1">
      <alignment vertical="top"/>
    </xf>
    <xf numFmtId="0" fontId="4" fillId="5" borderId="10" xfId="0" applyFont="1" applyFill="1" applyBorder="1" applyAlignment="1">
      <alignment horizontal="center" vertical="top" wrapText="1"/>
    </xf>
    <xf numFmtId="0" fontId="4" fillId="5" borderId="10" xfId="0" applyFont="1" applyFill="1" applyBorder="1" applyAlignment="1">
      <alignment vertical="top" wrapText="1"/>
    </xf>
    <xf numFmtId="166" fontId="9" fillId="3" borderId="1" xfId="0" applyNumberFormat="1" applyFont="1" applyFill="1" applyBorder="1" applyAlignment="1">
      <alignment horizontal="center" vertical="top"/>
    </xf>
    <xf numFmtId="0" fontId="7" fillId="0" borderId="6" xfId="0" applyFont="1" applyBorder="1" applyAlignment="1">
      <alignment vertical="top" wrapText="1"/>
    </xf>
    <xf numFmtId="164" fontId="7" fillId="0" borderId="4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7" fillId="0" borderId="10" xfId="0" applyFont="1" applyBorder="1" applyAlignment="1">
      <alignment vertical="top" wrapText="1"/>
    </xf>
    <xf numFmtId="164" fontId="7" fillId="0" borderId="7" xfId="0" applyNumberFormat="1" applyFont="1" applyBorder="1" applyAlignment="1">
      <alignment horizontal="center" vertical="top" wrapText="1"/>
    </xf>
    <xf numFmtId="0" fontId="5" fillId="0" borderId="12" xfId="0" applyFont="1" applyBorder="1" applyAlignment="1">
      <alignment vertical="top" wrapText="1"/>
    </xf>
    <xf numFmtId="0" fontId="7" fillId="0" borderId="13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0" borderId="5" xfId="0" applyFont="1" applyBorder="1" applyAlignment="1">
      <alignment horizontal="center" vertical="top"/>
    </xf>
    <xf numFmtId="164" fontId="7" fillId="0" borderId="1" xfId="0" applyNumberFormat="1" applyFont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/>
    </xf>
    <xf numFmtId="4" fontId="8" fillId="7" borderId="1" xfId="0" applyNumberFormat="1" applyFont="1" applyFill="1" applyBorder="1" applyAlignment="1">
      <alignment vertical="top"/>
    </xf>
    <xf numFmtId="4" fontId="8" fillId="7" borderId="0" xfId="0" applyNumberFormat="1" applyFont="1" applyFill="1" applyAlignment="1">
      <alignment vertical="top"/>
    </xf>
    <xf numFmtId="166" fontId="8" fillId="7" borderId="1" xfId="0" applyNumberFormat="1" applyFont="1" applyFill="1" applyBorder="1" applyAlignment="1">
      <alignment vertical="top"/>
    </xf>
    <xf numFmtId="166" fontId="3" fillId="0" borderId="6" xfId="0" applyNumberFormat="1" applyFont="1" applyBorder="1" applyAlignment="1">
      <alignment vertical="top" wrapText="1"/>
    </xf>
    <xf numFmtId="166" fontId="3" fillId="7" borderId="6" xfId="0" applyNumberFormat="1" applyFont="1" applyFill="1" applyBorder="1" applyAlignment="1">
      <alignment vertical="top" wrapText="1"/>
    </xf>
    <xf numFmtId="166" fontId="3" fillId="3" borderId="6" xfId="0" applyNumberFormat="1" applyFont="1" applyFill="1" applyBorder="1" applyAlignment="1">
      <alignment vertical="top" wrapText="1"/>
    </xf>
    <xf numFmtId="166" fontId="0" fillId="0" borderId="0" xfId="0" applyNumberFormat="1" applyAlignment="1">
      <alignment vertical="top"/>
    </xf>
    <xf numFmtId="166" fontId="5" fillId="0" borderId="10" xfId="0" applyNumberFormat="1" applyFont="1" applyBorder="1" applyAlignment="1">
      <alignment vertical="top" wrapText="1"/>
    </xf>
    <xf numFmtId="166" fontId="3" fillId="0" borderId="10" xfId="0" applyNumberFormat="1" applyFont="1" applyBorder="1" applyAlignment="1">
      <alignment vertical="top" wrapText="1"/>
    </xf>
    <xf numFmtId="166" fontId="3" fillId="7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ADD9-1010-411F-8863-7FB39BF17364}">
  <sheetPr>
    <pageSetUpPr fitToPage="1"/>
  </sheetPr>
  <dimension ref="A1:F32"/>
  <sheetViews>
    <sheetView showGridLines="0" tabSelected="1" zoomScale="90" zoomScaleNormal="90" workbookViewId="0">
      <selection activeCell="H10" sqref="H10"/>
    </sheetView>
  </sheetViews>
  <sheetFormatPr defaultColWidth="9.21875" defaultRowHeight="27" customHeight="1" x14ac:dyDescent="0.3"/>
  <cols>
    <col min="1" max="1" width="43.21875" style="42" customWidth="1"/>
    <col min="2" max="2" width="14.5546875" style="43" customWidth="1"/>
    <col min="3" max="3" width="30.5546875" style="43" customWidth="1"/>
    <col min="4" max="4" width="62.6640625" style="43" customWidth="1"/>
    <col min="5" max="6" width="21.6640625" style="43" customWidth="1"/>
    <col min="7" max="16384" width="9.21875" style="43"/>
  </cols>
  <sheetData>
    <row r="1" spans="1:6" ht="31.2" x14ac:dyDescent="0.3">
      <c r="A1" s="44" t="s">
        <v>51</v>
      </c>
      <c r="B1" s="45" t="s">
        <v>0</v>
      </c>
      <c r="C1" s="46" t="s">
        <v>26</v>
      </c>
      <c r="D1" s="45" t="s">
        <v>14</v>
      </c>
      <c r="E1" s="53" t="s">
        <v>65</v>
      </c>
      <c r="F1" s="53" t="s">
        <v>66</v>
      </c>
    </row>
    <row r="2" spans="1:6" s="47" customFormat="1" ht="28.8" x14ac:dyDescent="0.3">
      <c r="A2" s="54" t="s">
        <v>57</v>
      </c>
      <c r="B2" s="55">
        <v>50000</v>
      </c>
      <c r="C2" s="56" t="s">
        <v>15</v>
      </c>
      <c r="D2" s="61" t="s">
        <v>67</v>
      </c>
      <c r="E2" s="66">
        <v>50000</v>
      </c>
      <c r="F2" s="66">
        <f>E2*1.12</f>
        <v>56000.000000000007</v>
      </c>
    </row>
    <row r="3" spans="1:6" s="47" customFormat="1" ht="15.6" x14ac:dyDescent="0.3">
      <c r="A3" s="57" t="s">
        <v>68</v>
      </c>
      <c r="B3" s="58">
        <v>24000</v>
      </c>
      <c r="C3" s="65" t="s">
        <v>72</v>
      </c>
      <c r="D3" s="59" t="s">
        <v>64</v>
      </c>
      <c r="E3" s="66">
        <f>24000*0.15</f>
        <v>3600</v>
      </c>
      <c r="F3" s="66">
        <f>24000*0.15</f>
        <v>3600</v>
      </c>
    </row>
    <row r="4" spans="1:6" s="47" customFormat="1" ht="15.6" x14ac:dyDescent="0.3">
      <c r="A4" s="54" t="s">
        <v>73</v>
      </c>
      <c r="B4" s="60" t="s">
        <v>10</v>
      </c>
      <c r="C4" s="55" t="s">
        <v>52</v>
      </c>
      <c r="D4" s="61" t="s">
        <v>74</v>
      </c>
      <c r="E4" s="67">
        <f>180*15*12</f>
        <v>32400</v>
      </c>
      <c r="F4" s="66">
        <f>(180+20)*15*12</f>
        <v>36000</v>
      </c>
    </row>
    <row r="5" spans="1:6" s="47" customFormat="1" ht="28.8" x14ac:dyDescent="0.3">
      <c r="A5" s="62" t="s">
        <v>53</v>
      </c>
      <c r="B5" s="63" t="s">
        <v>10</v>
      </c>
      <c r="C5" s="64">
        <v>22000</v>
      </c>
      <c r="D5" s="61" t="s">
        <v>75</v>
      </c>
      <c r="E5" s="66">
        <v>22000</v>
      </c>
      <c r="F5" s="66">
        <f>22000+1100</f>
        <v>23100</v>
      </c>
    </row>
    <row r="6" spans="1:6" s="47" customFormat="1" ht="15.6" x14ac:dyDescent="0.3">
      <c r="A6" s="62" t="s">
        <v>6</v>
      </c>
      <c r="B6" s="63" t="s">
        <v>10</v>
      </c>
      <c r="C6" s="64">
        <v>25000</v>
      </c>
      <c r="D6" s="61" t="s">
        <v>76</v>
      </c>
      <c r="E6" s="66">
        <v>25000</v>
      </c>
      <c r="F6" s="66">
        <f>E6*1.03</f>
        <v>25750</v>
      </c>
    </row>
    <row r="7" spans="1:6" s="47" customFormat="1" ht="15.6" x14ac:dyDescent="0.3">
      <c r="A7" s="62" t="s">
        <v>56</v>
      </c>
      <c r="B7" s="63" t="s">
        <v>10</v>
      </c>
      <c r="C7" s="64">
        <v>7200</v>
      </c>
      <c r="D7" s="61" t="s">
        <v>69</v>
      </c>
      <c r="E7" s="66">
        <v>7200</v>
      </c>
      <c r="F7" s="66">
        <f>E7</f>
        <v>7200</v>
      </c>
    </row>
    <row r="8" spans="1:6" s="47" customFormat="1" ht="15.6" x14ac:dyDescent="0.3">
      <c r="A8" s="62" t="s">
        <v>50</v>
      </c>
      <c r="B8" s="63" t="s">
        <v>10</v>
      </c>
      <c r="C8" s="64">
        <v>130000</v>
      </c>
      <c r="D8" s="61" t="s">
        <v>70</v>
      </c>
      <c r="E8" s="66">
        <v>130000</v>
      </c>
      <c r="F8" s="66">
        <f>E8 * 1.1</f>
        <v>143000</v>
      </c>
    </row>
    <row r="9" spans="1:6" s="47" customFormat="1" ht="28.8" x14ac:dyDescent="0.3">
      <c r="A9" s="54" t="s">
        <v>77</v>
      </c>
      <c r="B9" s="55">
        <v>14600</v>
      </c>
      <c r="C9" s="56" t="s">
        <v>15</v>
      </c>
      <c r="D9" s="61" t="s">
        <v>78</v>
      </c>
      <c r="E9" s="66">
        <f>14600</f>
        <v>14600</v>
      </c>
      <c r="F9" s="66">
        <f>14600/180*(180+25)</f>
        <v>16627.777777777777</v>
      </c>
    </row>
    <row r="10" spans="1:6" s="47" customFormat="1" ht="28.8" x14ac:dyDescent="0.3">
      <c r="A10" s="62" t="s">
        <v>49</v>
      </c>
      <c r="B10" s="63" t="s">
        <v>10</v>
      </c>
      <c r="C10" s="64">
        <v>42000</v>
      </c>
      <c r="D10" s="61" t="s">
        <v>79</v>
      </c>
      <c r="E10" s="66">
        <v>42000</v>
      </c>
      <c r="F10" s="66">
        <v>42000</v>
      </c>
    </row>
    <row r="11" spans="1:6" s="47" customFormat="1" ht="15.6" x14ac:dyDescent="0.3">
      <c r="A11" s="54" t="s">
        <v>46</v>
      </c>
      <c r="B11" s="55">
        <v>2000</v>
      </c>
      <c r="C11" s="56" t="s">
        <v>47</v>
      </c>
      <c r="D11" s="61" t="s">
        <v>80</v>
      </c>
      <c r="E11" s="66">
        <f>0</f>
        <v>0</v>
      </c>
      <c r="F11" s="66">
        <f>2000*25</f>
        <v>50000</v>
      </c>
    </row>
    <row r="12" spans="1:6" s="47" customFormat="1" ht="43.2" x14ac:dyDescent="0.3">
      <c r="A12" s="54" t="s">
        <v>81</v>
      </c>
      <c r="B12" s="55" t="s">
        <v>10</v>
      </c>
      <c r="C12" s="56" t="s">
        <v>82</v>
      </c>
      <c r="D12" s="61" t="s">
        <v>83</v>
      </c>
      <c r="E12" s="66">
        <f>180*2000*0.1</f>
        <v>36000</v>
      </c>
      <c r="F12" s="66">
        <f>205*2000*0.1</f>
        <v>41000</v>
      </c>
    </row>
    <row r="13" spans="1:6" s="47" customFormat="1" ht="15.6" x14ac:dyDescent="0.3">
      <c r="A13" s="62" t="s">
        <v>13</v>
      </c>
      <c r="B13" s="63" t="s">
        <v>10</v>
      </c>
      <c r="C13" s="64">
        <v>16000</v>
      </c>
      <c r="D13" s="61" t="s">
        <v>71</v>
      </c>
      <c r="E13" s="66">
        <v>16000</v>
      </c>
      <c r="F13" s="66">
        <f>16000*1.23</f>
        <v>19680</v>
      </c>
    </row>
    <row r="14" spans="1:6" s="47" customFormat="1" ht="43.2" x14ac:dyDescent="0.3">
      <c r="A14" s="62" t="s">
        <v>58</v>
      </c>
      <c r="B14" s="63" t="s">
        <v>10</v>
      </c>
      <c r="C14" s="64" t="s">
        <v>52</v>
      </c>
      <c r="D14" s="61" t="s">
        <v>84</v>
      </c>
      <c r="E14" s="66">
        <f>30000/12*9*0.025</f>
        <v>562.5</v>
      </c>
      <c r="F14" s="66">
        <f>40000*0.025</f>
        <v>1000</v>
      </c>
    </row>
    <row r="15" spans="1:6" s="47" customFormat="1" ht="28.8" x14ac:dyDescent="0.3">
      <c r="A15" s="54" t="s">
        <v>19</v>
      </c>
      <c r="B15" s="58">
        <v>3060</v>
      </c>
      <c r="C15" s="56" t="s">
        <v>63</v>
      </c>
      <c r="D15" s="61" t="s">
        <v>85</v>
      </c>
      <c r="E15" s="66">
        <f>3060*0.2</f>
        <v>612</v>
      </c>
      <c r="F15" s="66">
        <v>612</v>
      </c>
    </row>
    <row r="16" spans="1:6" s="47" customFormat="1" ht="15.6" x14ac:dyDescent="0.3">
      <c r="A16" s="54" t="s">
        <v>20</v>
      </c>
      <c r="B16" s="55">
        <v>4500</v>
      </c>
      <c r="C16" s="56" t="s">
        <v>15</v>
      </c>
      <c r="D16" s="61" t="s">
        <v>86</v>
      </c>
      <c r="E16" s="66">
        <v>4500</v>
      </c>
      <c r="F16" s="66">
        <v>4500</v>
      </c>
    </row>
    <row r="17" spans="1:6" s="47" customFormat="1" ht="15.6" x14ac:dyDescent="0.3">
      <c r="A17" s="62" t="s">
        <v>48</v>
      </c>
      <c r="B17" s="63" t="s">
        <v>10</v>
      </c>
      <c r="C17" s="64">
        <v>78000</v>
      </c>
      <c r="D17" s="61" t="s">
        <v>87</v>
      </c>
      <c r="E17" s="66">
        <f>78000*(1+0.05/2)</f>
        <v>79950</v>
      </c>
      <c r="F17" s="66">
        <f>78000*1.05</f>
        <v>81900</v>
      </c>
    </row>
    <row r="18" spans="1:6" ht="15.6" x14ac:dyDescent="0.3"/>
    <row r="19" spans="1:6" s="47" customFormat="1" ht="17.399999999999999" customHeight="1" x14ac:dyDescent="0.3">
      <c r="A19" s="50" t="s">
        <v>59</v>
      </c>
      <c r="C19" s="48"/>
    </row>
    <row r="20" spans="1:6" ht="17.399999999999999" customHeight="1" x14ac:dyDescent="0.3">
      <c r="A20" s="42" t="s">
        <v>60</v>
      </c>
      <c r="B20" s="49"/>
      <c r="C20" s="49"/>
    </row>
    <row r="21" spans="1:6" ht="17.399999999999999" customHeight="1" x14ac:dyDescent="0.3">
      <c r="A21" s="42" t="s">
        <v>61</v>
      </c>
    </row>
    <row r="22" spans="1:6" ht="17.399999999999999" customHeight="1" x14ac:dyDescent="0.3">
      <c r="A22" s="42" t="s">
        <v>62</v>
      </c>
    </row>
    <row r="23" spans="1:6" ht="17.399999999999999" customHeight="1" x14ac:dyDescent="0.3"/>
    <row r="24" spans="1:6" ht="17.399999999999999" customHeight="1" x14ac:dyDescent="0.3"/>
    <row r="25" spans="1:6" ht="17.399999999999999" customHeight="1" x14ac:dyDescent="0.3"/>
    <row r="26" spans="1:6" ht="17.399999999999999" customHeight="1" x14ac:dyDescent="0.3"/>
    <row r="27" spans="1:6" ht="17.399999999999999" customHeight="1" x14ac:dyDescent="0.3"/>
    <row r="28" spans="1:6" ht="17.399999999999999" customHeight="1" x14ac:dyDescent="0.3"/>
    <row r="29" spans="1:6" ht="17.399999999999999" customHeight="1" x14ac:dyDescent="0.3"/>
    <row r="30" spans="1:6" ht="17.399999999999999" customHeight="1" x14ac:dyDescent="0.3"/>
    <row r="31" spans="1:6" ht="17.399999999999999" customHeight="1" x14ac:dyDescent="0.3"/>
    <row r="32" spans="1:6" ht="17.399999999999999" customHeight="1" x14ac:dyDescent="0.3"/>
  </sheetData>
  <pageMargins left="0.70866141732283472" right="0.70866141732283472" top="0.74803149606299213" bottom="0.74803149606299213" header="0.31496062992125984" footer="0.31496062992125984"/>
  <pageSetup scale="55" fitToHeight="2" orientation="landscape" r:id="rId1"/>
  <headerFooter>
    <oddHeader>&amp;C&amp;"Calibri"&amp;10&amp;K000000OFFICIAL (CLOSED) \ NON-SENSITIVE&amp;1#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44D0-1619-4AAA-BB1C-9555420C29E5}">
  <dimension ref="A1:D24"/>
  <sheetViews>
    <sheetView showGridLines="0" zoomScale="90" zoomScaleNormal="90" workbookViewId="0">
      <selection activeCell="G3" sqref="G3"/>
    </sheetView>
  </sheetViews>
  <sheetFormatPr defaultRowHeight="14.4" x14ac:dyDescent="0.3"/>
  <cols>
    <col min="1" max="1" width="34.44140625" customWidth="1"/>
    <col min="2" max="3" width="13.109375" style="35" customWidth="1"/>
    <col min="4" max="4" width="13.109375" customWidth="1"/>
  </cols>
  <sheetData>
    <row r="1" spans="1:4" ht="28.8" x14ac:dyDescent="0.3">
      <c r="A1" s="52" t="s">
        <v>9</v>
      </c>
      <c r="B1" s="51" t="s">
        <v>27</v>
      </c>
      <c r="C1" s="51" t="s">
        <v>65</v>
      </c>
      <c r="D1" s="51" t="s">
        <v>66</v>
      </c>
    </row>
    <row r="2" spans="1:4" x14ac:dyDescent="0.3">
      <c r="A2" s="14" t="s">
        <v>1</v>
      </c>
      <c r="B2" s="33"/>
      <c r="C2" s="34"/>
      <c r="D2" s="34"/>
    </row>
    <row r="3" spans="1:4" ht="15.6" x14ac:dyDescent="0.3">
      <c r="A3" s="57" t="s">
        <v>68</v>
      </c>
      <c r="B3" s="69">
        <v>3600</v>
      </c>
      <c r="C3" s="69">
        <v>3600</v>
      </c>
      <c r="D3" s="69">
        <v>3600</v>
      </c>
    </row>
    <row r="4" spans="1:4" ht="15.6" x14ac:dyDescent="0.3">
      <c r="A4" s="54" t="s">
        <v>46</v>
      </c>
      <c r="B4" s="69">
        <v>0</v>
      </c>
      <c r="C4" s="69">
        <v>0</v>
      </c>
      <c r="D4" s="68">
        <f>2000*25</f>
        <v>50000</v>
      </c>
    </row>
    <row r="5" spans="1:4" s="41" customFormat="1" ht="15.6" x14ac:dyDescent="0.3">
      <c r="A5" s="54" t="s">
        <v>19</v>
      </c>
      <c r="B5" s="70">
        <v>612</v>
      </c>
      <c r="C5" s="68">
        <f>3060*0.2</f>
        <v>612</v>
      </c>
      <c r="D5" s="68">
        <f>3060*0.2</f>
        <v>612</v>
      </c>
    </row>
    <row r="6" spans="1:4" x14ac:dyDescent="0.3">
      <c r="A6" s="13" t="s">
        <v>3</v>
      </c>
      <c r="B6" s="71"/>
      <c r="C6" s="71"/>
      <c r="D6" s="71"/>
    </row>
    <row r="7" spans="1:4" s="41" customFormat="1" ht="15.6" x14ac:dyDescent="0.3">
      <c r="A7" s="54" t="s">
        <v>20</v>
      </c>
      <c r="B7" s="70">
        <v>4500</v>
      </c>
      <c r="C7" s="68">
        <v>4500</v>
      </c>
      <c r="D7" s="68">
        <v>4500</v>
      </c>
    </row>
    <row r="8" spans="1:4" ht="15.6" x14ac:dyDescent="0.3">
      <c r="A8" s="54" t="s">
        <v>77</v>
      </c>
      <c r="B8" s="69">
        <v>14600</v>
      </c>
      <c r="C8" s="68">
        <f>14600</f>
        <v>14600</v>
      </c>
      <c r="D8" s="68">
        <f>14600/180*(180+25)</f>
        <v>16627.777777777777</v>
      </c>
    </row>
    <row r="9" spans="1:4" x14ac:dyDescent="0.3">
      <c r="A9" s="13" t="s">
        <v>54</v>
      </c>
      <c r="B9" s="71"/>
      <c r="C9" s="71"/>
      <c r="D9" s="71"/>
    </row>
    <row r="10" spans="1:4" s="41" customFormat="1" ht="15.6" x14ac:dyDescent="0.3">
      <c r="A10" s="62" t="s">
        <v>49</v>
      </c>
      <c r="B10" s="70">
        <v>42000</v>
      </c>
      <c r="C10" s="68">
        <v>42000</v>
      </c>
      <c r="D10" s="68">
        <v>42000</v>
      </c>
    </row>
    <row r="11" spans="1:4" s="41" customFormat="1" ht="15.6" x14ac:dyDescent="0.3">
      <c r="A11" s="62" t="s">
        <v>48</v>
      </c>
      <c r="B11" s="70">
        <v>78000</v>
      </c>
      <c r="C11" s="66">
        <f>78000*(1+0.05/2)</f>
        <v>79950</v>
      </c>
      <c r="D11" s="68">
        <f>78000*1.05</f>
        <v>81900</v>
      </c>
    </row>
    <row r="12" spans="1:4" s="41" customFormat="1" ht="15.6" x14ac:dyDescent="0.3">
      <c r="A12" s="62" t="s">
        <v>50</v>
      </c>
      <c r="B12" s="66">
        <v>130000</v>
      </c>
      <c r="C12" s="66">
        <v>130000</v>
      </c>
      <c r="D12" s="68">
        <f>130000 * 1.1</f>
        <v>143000</v>
      </c>
    </row>
    <row r="13" spans="1:4" x14ac:dyDescent="0.3">
      <c r="A13" s="13" t="s">
        <v>55</v>
      </c>
      <c r="B13" s="71"/>
      <c r="C13" s="71"/>
      <c r="D13" s="71"/>
    </row>
    <row r="14" spans="1:4" s="41" customFormat="1" ht="15.6" x14ac:dyDescent="0.3">
      <c r="A14" s="62" t="s">
        <v>6</v>
      </c>
      <c r="B14" s="70">
        <v>25000</v>
      </c>
      <c r="C14" s="68">
        <v>25000</v>
      </c>
      <c r="D14" s="68">
        <f>C14*1.03</f>
        <v>25750</v>
      </c>
    </row>
    <row r="15" spans="1:4" s="41" customFormat="1" ht="15.6" x14ac:dyDescent="0.3">
      <c r="A15" s="62" t="s">
        <v>13</v>
      </c>
      <c r="B15" s="70">
        <v>16000</v>
      </c>
      <c r="C15" s="68">
        <v>16000</v>
      </c>
      <c r="D15" s="68">
        <f>16000*1.23</f>
        <v>19680</v>
      </c>
    </row>
    <row r="16" spans="1:4" x14ac:dyDescent="0.3">
      <c r="A16" s="13" t="s">
        <v>7</v>
      </c>
      <c r="B16" s="71"/>
      <c r="C16" s="71"/>
      <c r="D16" s="71"/>
    </row>
    <row r="17" spans="1:4" ht="15.6" x14ac:dyDescent="0.3">
      <c r="A17" s="54" t="s">
        <v>57</v>
      </c>
      <c r="B17" s="72">
        <v>50000</v>
      </c>
      <c r="C17" s="68">
        <v>50000</v>
      </c>
      <c r="D17" s="68">
        <f>C17*1.12</f>
        <v>56000.000000000007</v>
      </c>
    </row>
    <row r="18" spans="1:4" ht="15.6" x14ac:dyDescent="0.3">
      <c r="A18" s="62" t="s">
        <v>53</v>
      </c>
      <c r="B18" s="69">
        <v>22000</v>
      </c>
      <c r="C18" s="68">
        <v>22000</v>
      </c>
      <c r="D18" s="68">
        <f>C18+1100</f>
        <v>23100</v>
      </c>
    </row>
    <row r="19" spans="1:4" ht="15.6" x14ac:dyDescent="0.3">
      <c r="A19" s="62" t="s">
        <v>58</v>
      </c>
      <c r="B19" s="73">
        <v>750</v>
      </c>
      <c r="C19" s="68">
        <f>30000*0.025*(9/12)</f>
        <v>562.5</v>
      </c>
      <c r="D19" s="68">
        <f>40000*0.025</f>
        <v>1000</v>
      </c>
    </row>
    <row r="20" spans="1:4" ht="15.6" x14ac:dyDescent="0.3">
      <c r="A20" s="62" t="s">
        <v>56</v>
      </c>
      <c r="B20" s="74">
        <v>7200</v>
      </c>
      <c r="C20" s="68">
        <v>7200</v>
      </c>
      <c r="D20" s="68">
        <f>C20</f>
        <v>7200</v>
      </c>
    </row>
    <row r="21" spans="1:4" s="41" customFormat="1" ht="15.6" x14ac:dyDescent="0.3">
      <c r="A21" s="54" t="s">
        <v>81</v>
      </c>
      <c r="B21" s="75">
        <v>36000</v>
      </c>
      <c r="C21" s="68">
        <f>180*2000*0.1</f>
        <v>36000</v>
      </c>
      <c r="D21" s="66">
        <f>205*2000*0.1</f>
        <v>41000</v>
      </c>
    </row>
    <row r="22" spans="1:4" s="41" customFormat="1" ht="31.2" x14ac:dyDescent="0.3">
      <c r="A22" s="62" t="s">
        <v>73</v>
      </c>
      <c r="B22" s="66">
        <f>180*15*12</f>
        <v>32400</v>
      </c>
      <c r="C22" s="66">
        <f>180*15*12</f>
        <v>32400</v>
      </c>
      <c r="D22" s="66">
        <f>(180+20)*15*12</f>
        <v>36000</v>
      </c>
    </row>
    <row r="23" spans="1:4" x14ac:dyDescent="0.3">
      <c r="A23" s="36" t="s">
        <v>8</v>
      </c>
      <c r="B23" s="37">
        <f>SUM(B3:B22)</f>
        <v>462662</v>
      </c>
      <c r="C23" s="38">
        <f>SUM(C3:C22)</f>
        <v>464424.5</v>
      </c>
      <c r="D23" s="38">
        <f>SUM(D3:D22)</f>
        <v>551969.77777777775</v>
      </c>
    </row>
    <row r="24" spans="1:4" s="41" customFormat="1" x14ac:dyDescent="0.3">
      <c r="A24" s="39"/>
      <c r="B24" s="40"/>
      <c r="C24" s="40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&amp;C&amp;"Calibri"&amp;10&amp;K000000OFFICIAL (CLOSED) \ NON-SENSITIVE&amp;1#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H23"/>
  <sheetViews>
    <sheetView zoomScale="80" zoomScaleNormal="80" workbookViewId="0">
      <selection activeCell="A10" sqref="A10"/>
    </sheetView>
  </sheetViews>
  <sheetFormatPr defaultRowHeight="14.4" x14ac:dyDescent="0.3"/>
  <cols>
    <col min="1" max="1" width="29.21875" customWidth="1"/>
    <col min="2" max="2" width="15.77734375" customWidth="1"/>
    <col min="3" max="3" width="27.44140625" customWidth="1"/>
    <col min="4" max="4" width="41.44140625" customWidth="1"/>
    <col min="5" max="5" width="14.21875" customWidth="1"/>
    <col min="6" max="6" width="19.5546875" customWidth="1"/>
    <col min="8" max="8" width="10.5546875" bestFit="1" customWidth="1"/>
  </cols>
  <sheetData>
    <row r="2" spans="1:8" x14ac:dyDescent="0.3">
      <c r="A2" s="1"/>
      <c r="B2" s="12" t="s">
        <v>0</v>
      </c>
      <c r="C2" s="17" t="s">
        <v>26</v>
      </c>
      <c r="D2" s="12" t="s">
        <v>14</v>
      </c>
      <c r="E2" s="21" t="s">
        <v>42</v>
      </c>
      <c r="F2" s="21" t="s">
        <v>43</v>
      </c>
      <c r="G2" t="s">
        <v>41</v>
      </c>
    </row>
    <row r="3" spans="1:8" x14ac:dyDescent="0.3">
      <c r="A3" s="2" t="s">
        <v>2</v>
      </c>
      <c r="B3" s="18">
        <v>50000</v>
      </c>
      <c r="C3" s="3" t="s">
        <v>12</v>
      </c>
      <c r="D3" s="4" t="s">
        <v>16</v>
      </c>
      <c r="E3" s="22">
        <f>B3*0.1</f>
        <v>5000</v>
      </c>
      <c r="F3" s="22">
        <f>E3</f>
        <v>5000</v>
      </c>
    </row>
    <row r="4" spans="1:8" x14ac:dyDescent="0.3">
      <c r="A4" s="16" t="s">
        <v>23</v>
      </c>
      <c r="B4" s="6" t="s">
        <v>10</v>
      </c>
      <c r="C4" s="7">
        <v>22000</v>
      </c>
      <c r="D4" s="4" t="s">
        <v>31</v>
      </c>
      <c r="E4" s="23">
        <f>C4</f>
        <v>22000</v>
      </c>
      <c r="F4" s="22">
        <f>E4</f>
        <v>22000</v>
      </c>
    </row>
    <row r="5" spans="1:8" x14ac:dyDescent="0.3">
      <c r="A5" s="26" t="s">
        <v>4</v>
      </c>
      <c r="B5" s="6" t="s">
        <v>10</v>
      </c>
      <c r="C5" s="7">
        <v>80000</v>
      </c>
      <c r="D5" s="30" t="s">
        <v>24</v>
      </c>
      <c r="E5" s="23">
        <f>C5</f>
        <v>80000</v>
      </c>
      <c r="F5" s="22">
        <f>E5*1.05</f>
        <v>84000</v>
      </c>
      <c r="G5">
        <v>8</v>
      </c>
      <c r="H5" s="15">
        <f>(G5-5)*C5/100</f>
        <v>2400</v>
      </c>
    </row>
    <row r="6" spans="1:8" x14ac:dyDescent="0.3">
      <c r="A6" s="8" t="s">
        <v>21</v>
      </c>
      <c r="B6" s="9">
        <v>2700</v>
      </c>
      <c r="C6" s="10" t="s">
        <v>15</v>
      </c>
      <c r="D6" s="4" t="s">
        <v>17</v>
      </c>
      <c r="E6" s="23">
        <f>B6</f>
        <v>2700</v>
      </c>
      <c r="F6" s="22">
        <f>E6</f>
        <v>2700</v>
      </c>
    </row>
    <row r="7" spans="1:8" x14ac:dyDescent="0.3">
      <c r="A7" s="8" t="s">
        <v>19</v>
      </c>
      <c r="B7" s="19">
        <v>2000</v>
      </c>
      <c r="C7" s="10" t="s">
        <v>12</v>
      </c>
      <c r="D7" s="4" t="s">
        <v>16</v>
      </c>
      <c r="E7" s="23">
        <f>B7*0.1</f>
        <v>200</v>
      </c>
      <c r="F7" s="22">
        <f>E7</f>
        <v>200</v>
      </c>
    </row>
    <row r="8" spans="1:8" x14ac:dyDescent="0.3">
      <c r="A8" s="8" t="s">
        <v>28</v>
      </c>
      <c r="B8" s="9">
        <v>5000</v>
      </c>
      <c r="C8" s="10" t="s">
        <v>15</v>
      </c>
      <c r="D8" s="30" t="s">
        <v>34</v>
      </c>
      <c r="E8" s="23">
        <f>B8</f>
        <v>5000</v>
      </c>
      <c r="F8" s="22">
        <f>E8/50*56</f>
        <v>5600</v>
      </c>
    </row>
    <row r="9" spans="1:8" x14ac:dyDescent="0.3">
      <c r="A9" s="5" t="s">
        <v>6</v>
      </c>
      <c r="B9" s="6" t="s">
        <v>10</v>
      </c>
      <c r="C9" s="7">
        <v>15000</v>
      </c>
      <c r="D9" s="4" t="s">
        <v>25</v>
      </c>
      <c r="E9" s="23">
        <f>C9</f>
        <v>15000</v>
      </c>
      <c r="F9" s="22">
        <f>E9*1.08</f>
        <v>16200.000000000002</v>
      </c>
    </row>
    <row r="10" spans="1:8" x14ac:dyDescent="0.3">
      <c r="A10" s="8" t="s">
        <v>29</v>
      </c>
      <c r="B10" s="11">
        <v>4000</v>
      </c>
      <c r="C10" s="10" t="s">
        <v>15</v>
      </c>
      <c r="D10" s="30" t="s">
        <v>34</v>
      </c>
      <c r="E10" s="23">
        <f>B10</f>
        <v>4000</v>
      </c>
      <c r="F10" s="22">
        <f>E10/50*56</f>
        <v>4480</v>
      </c>
    </row>
    <row r="11" spans="1:8" x14ac:dyDescent="0.3">
      <c r="A11" s="8" t="s">
        <v>30</v>
      </c>
      <c r="B11" s="9">
        <v>2750</v>
      </c>
      <c r="C11" s="10" t="s">
        <v>15</v>
      </c>
      <c r="D11" s="4" t="s">
        <v>34</v>
      </c>
      <c r="E11" s="23">
        <f>B11</f>
        <v>2750</v>
      </c>
      <c r="F11" s="22">
        <f>E11/50*56</f>
        <v>3080</v>
      </c>
    </row>
    <row r="12" spans="1:8" s="29" customFormat="1" x14ac:dyDescent="0.3">
      <c r="A12" s="26" t="s">
        <v>11</v>
      </c>
      <c r="B12" s="27" t="s">
        <v>10</v>
      </c>
      <c r="C12" s="28">
        <v>54600</v>
      </c>
      <c r="D12" s="24" t="s">
        <v>44</v>
      </c>
      <c r="E12" s="31">
        <f>C12</f>
        <v>54600</v>
      </c>
      <c r="F12" s="32">
        <f>C12</f>
        <v>54600</v>
      </c>
    </row>
    <row r="13" spans="1:8" x14ac:dyDescent="0.3">
      <c r="A13" s="5" t="s">
        <v>22</v>
      </c>
      <c r="B13" s="6" t="s">
        <v>10</v>
      </c>
      <c r="C13" s="7">
        <v>14000</v>
      </c>
      <c r="D13" s="4" t="s">
        <v>35</v>
      </c>
      <c r="E13" s="23">
        <f>C13</f>
        <v>14000</v>
      </c>
      <c r="F13" s="22">
        <f>E13</f>
        <v>14000</v>
      </c>
      <c r="G13">
        <v>3</v>
      </c>
      <c r="H13" s="15">
        <f>G13*C13/100</f>
        <v>420</v>
      </c>
    </row>
    <row r="14" spans="1:8" x14ac:dyDescent="0.3">
      <c r="A14" s="8" t="s">
        <v>18</v>
      </c>
      <c r="B14" s="19">
        <v>8000</v>
      </c>
      <c r="C14" s="10" t="s">
        <v>12</v>
      </c>
      <c r="D14" s="4" t="s">
        <v>16</v>
      </c>
      <c r="E14" s="23">
        <f>B14*0.1</f>
        <v>800</v>
      </c>
      <c r="F14" s="22">
        <f>E14</f>
        <v>800</v>
      </c>
    </row>
    <row r="15" spans="1:8" x14ac:dyDescent="0.3">
      <c r="A15" s="5" t="s">
        <v>13</v>
      </c>
      <c r="B15" s="6" t="s">
        <v>10</v>
      </c>
      <c r="C15" s="7">
        <v>19000</v>
      </c>
      <c r="D15" s="4" t="s">
        <v>36</v>
      </c>
      <c r="E15" s="23">
        <f>C15</f>
        <v>19000</v>
      </c>
      <c r="F15" s="22">
        <f>E15*1.1</f>
        <v>20900</v>
      </c>
      <c r="G15">
        <v>12</v>
      </c>
      <c r="H15" s="15">
        <f>(G15-10)*C15/100</f>
        <v>380</v>
      </c>
    </row>
    <row r="16" spans="1:8" x14ac:dyDescent="0.3">
      <c r="A16" s="26" t="s">
        <v>5</v>
      </c>
      <c r="B16" s="6" t="s">
        <v>10</v>
      </c>
      <c r="C16" s="7">
        <v>25000</v>
      </c>
      <c r="D16" s="4" t="s">
        <v>37</v>
      </c>
      <c r="E16" s="23">
        <f>C16</f>
        <v>25000</v>
      </c>
      <c r="F16" s="22">
        <f>E16*1.06</f>
        <v>26500</v>
      </c>
    </row>
    <row r="17" spans="1:8" x14ac:dyDescent="0.3">
      <c r="A17" s="8" t="s">
        <v>38</v>
      </c>
      <c r="B17" s="9">
        <v>2000</v>
      </c>
      <c r="C17" s="10" t="s">
        <v>12</v>
      </c>
      <c r="D17" s="4" t="s">
        <v>16</v>
      </c>
      <c r="E17" s="23">
        <f>B17*0.1</f>
        <v>200</v>
      </c>
      <c r="F17" s="22">
        <f>E17*1.1</f>
        <v>220.00000000000003</v>
      </c>
    </row>
    <row r="18" spans="1:8" x14ac:dyDescent="0.3">
      <c r="A18" s="8" t="s">
        <v>39</v>
      </c>
      <c r="B18" s="9">
        <v>12000</v>
      </c>
      <c r="C18" s="10" t="s">
        <v>15</v>
      </c>
      <c r="D18" s="4" t="s">
        <v>17</v>
      </c>
      <c r="E18" s="23">
        <f>B18</f>
        <v>12000</v>
      </c>
      <c r="F18" s="22">
        <f>E18</f>
        <v>12000</v>
      </c>
    </row>
    <row r="19" spans="1:8" x14ac:dyDescent="0.3">
      <c r="A19" s="20" t="s">
        <v>32</v>
      </c>
      <c r="B19" s="19">
        <v>75000</v>
      </c>
      <c r="C19" s="10" t="s">
        <v>12</v>
      </c>
      <c r="D19" s="4" t="s">
        <v>16</v>
      </c>
      <c r="E19" s="23">
        <f>B19*0.1</f>
        <v>7500</v>
      </c>
      <c r="F19" s="22">
        <f>E19</f>
        <v>7500</v>
      </c>
    </row>
    <row r="20" spans="1:8" x14ac:dyDescent="0.3">
      <c r="A20" s="8" t="s">
        <v>20</v>
      </c>
      <c r="B20" s="9">
        <v>3600</v>
      </c>
      <c r="C20" s="10" t="s">
        <v>15</v>
      </c>
      <c r="D20" s="4" t="s">
        <v>33</v>
      </c>
      <c r="E20" s="23">
        <f>B20</f>
        <v>3600</v>
      </c>
      <c r="F20" s="22">
        <f>E20</f>
        <v>3600</v>
      </c>
    </row>
    <row r="21" spans="1:8" x14ac:dyDescent="0.3">
      <c r="E21" s="25">
        <f>SUM(E3:E20)</f>
        <v>273350</v>
      </c>
      <c r="F21" s="25">
        <f>SUM(F3:F20)</f>
        <v>283380</v>
      </c>
      <c r="G21" t="s">
        <v>45</v>
      </c>
      <c r="H21" s="25">
        <f>F21-E21</f>
        <v>10030</v>
      </c>
    </row>
    <row r="22" spans="1:8" x14ac:dyDescent="0.3">
      <c r="C22" s="15"/>
    </row>
    <row r="23" spans="1:8" x14ac:dyDescent="0.3">
      <c r="A23" t="s">
        <v>40</v>
      </c>
      <c r="B23" s="15">
        <f>B10/50</f>
        <v>80</v>
      </c>
      <c r="C23" s="15">
        <f>B23*56</f>
        <v>4480</v>
      </c>
    </row>
  </sheetData>
  <phoneticPr fontId="0" type="noConversion"/>
  <pageMargins left="0.70866141732283472" right="0.70866141732283472" top="0.74803149606299213" bottom="0.74803149606299213" header="0.31496062992125984" footer="0.31496062992125984"/>
  <pageSetup scale="73" fitToHeight="2" orientation="landscape" r:id="rId1"/>
  <headerFooter>
    <oddHeader>&amp;C&amp;"Calibri"&amp;10&amp;K000000OFFICIAL (CLOSED) \ NON-SENSITIVE&amp;1#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185EAE5C4B24999F64AF816DDB529" ma:contentTypeVersion="23" ma:contentTypeDescription="Create a new document." ma:contentTypeScope="" ma:versionID="6c0fc1e80d3244e75efbecf7dfbd3606">
  <xsd:schema xmlns:xsd="http://www.w3.org/2001/XMLSchema" xmlns:xs="http://www.w3.org/2001/XMLSchema" xmlns:p="http://schemas.microsoft.com/office/2006/metadata/properties" xmlns:ns1="http://schemas.microsoft.com/sharepoint/v3" xmlns:ns2="802e93c6-f87a-4558-8da6-f509a09420d4" xmlns:ns3="dcf6e893-e20c-40e6-ba02-1fef41a8159d" targetNamespace="http://schemas.microsoft.com/office/2006/metadata/properties" ma:root="true" ma:fieldsID="090428a185fce502351391bb3b7c2e5d" ns1:_="" ns2:_="" ns3:_="">
    <xsd:import namespace="http://schemas.microsoft.com/sharepoint/v3"/>
    <xsd:import namespace="802e93c6-f87a-4558-8da6-f509a09420d4"/>
    <xsd:import namespace="dcf6e893-e20c-40e6-ba02-1fef41a8159d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e93c6-f87a-4558-8da6-f509a09420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754bec2-9c12-4dff-9bba-47e662260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6e893-e20c-40e6-ba02-1fef41a8159d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b39af64-8a0b-4725-a7a8-bb125e1d8468}" ma:internalName="TaxCatchAll" ma:showField="CatchAllData" ma:web="dcf6e893-e20c-40e6-ba02-1fef41a815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f6e893-e20c-40e6-ba02-1fef41a8159d" xsi:nil="true"/>
    <lcf76f155ced4ddcb4097134ff3c332f xmlns="802e93c6-f87a-4558-8da6-f509a09420d4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BF250B7D-2593-4038-BE33-CF79F85C4D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02e93c6-f87a-4558-8da6-f509a09420d4"/>
    <ds:schemaRef ds:uri="dcf6e893-e20c-40e6-ba02-1fef41a815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820053-800C-48E1-AF9C-DB49E1839FAB}">
  <ds:schemaRefs>
    <ds:schemaRef ds:uri="http://schemas.microsoft.com/office/2006/metadata/properties"/>
    <ds:schemaRef ds:uri="http://schemas.microsoft.com/office/infopath/2007/PartnerControls"/>
    <ds:schemaRef ds:uri="d03ddee0-5dd6-4a1b-a48a-0d3e652ca371"/>
    <ds:schemaRef ds:uri="f995fe43-24fc-46a1-8ad1-470fbdfcc11b"/>
    <ds:schemaRef ds:uri="dcf6e893-e20c-40e6-ba02-1fef41a8159d"/>
    <ds:schemaRef ds:uri="802e93c6-f87a-4558-8da6-f509a09420d4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AAF1D3FA-F70A-4C95-8C13-94BCAAC7ADC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70f6a2e-9a0b-44bc-9fcb-55781401e2f0}" enabled="1" method="Standard" siteId="{f688b0d0-79f0-40a4-8644-35fcdee9d0f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FY2025</vt:lpstr>
      <vt:lpstr>For Boss</vt:lpstr>
      <vt:lpstr>AY1213 Sem1 Thong Hwee</vt:lpstr>
    </vt:vector>
  </TitlesOfParts>
  <Company>Republic Polytechnic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Hwee Yong; joshua_tan</dc:creator>
  <cp:lastModifiedBy>CHEONG XIANG RONG</cp:lastModifiedBy>
  <cp:lastPrinted>2012-10-12T03:48:54Z</cp:lastPrinted>
  <dcterms:created xsi:type="dcterms:W3CDTF">2008-09-17T05:49:44Z</dcterms:created>
  <dcterms:modified xsi:type="dcterms:W3CDTF">2025-12-02T07:43:58Z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0f6a2e-9a0b-44bc-9fcb-55781401e2f0_Enabled">
    <vt:lpwstr>true</vt:lpwstr>
  </property>
  <property fmtid="{D5CDD505-2E9C-101B-9397-08002B2CF9AE}" pid="3" name="MSIP_Label_b70f6a2e-9a0b-44bc-9fcb-55781401e2f0_SetDate">
    <vt:lpwstr>2022-05-12T08:28:43Z</vt:lpwstr>
  </property>
  <property fmtid="{D5CDD505-2E9C-101B-9397-08002B2CF9AE}" pid="4" name="MSIP_Label_b70f6a2e-9a0b-44bc-9fcb-55781401e2f0_Method">
    <vt:lpwstr>Standard</vt:lpwstr>
  </property>
  <property fmtid="{D5CDD505-2E9C-101B-9397-08002B2CF9AE}" pid="5" name="MSIP_Label_b70f6a2e-9a0b-44bc-9fcb-55781401e2f0_Name">
    <vt:lpwstr>NON-SENSITIVE</vt:lpwstr>
  </property>
  <property fmtid="{D5CDD505-2E9C-101B-9397-08002B2CF9AE}" pid="6" name="MSIP_Label_b70f6a2e-9a0b-44bc-9fcb-55781401e2f0_SiteId">
    <vt:lpwstr>f688b0d0-79f0-40a4-8644-35fcdee9d0f3</vt:lpwstr>
  </property>
  <property fmtid="{D5CDD505-2E9C-101B-9397-08002B2CF9AE}" pid="7" name="MSIP_Label_b70f6a2e-9a0b-44bc-9fcb-55781401e2f0_ActionId">
    <vt:lpwstr>061f63b4-2564-4d9b-a397-72482c399d57</vt:lpwstr>
  </property>
  <property fmtid="{D5CDD505-2E9C-101B-9397-08002B2CF9AE}" pid="8" name="MSIP_Label_b70f6a2e-9a0b-44bc-9fcb-55781401e2f0_ContentBits">
    <vt:lpwstr>1</vt:lpwstr>
  </property>
  <property fmtid="{D5CDD505-2E9C-101B-9397-08002B2CF9AE}" pid="9" name="ContentTypeId">
    <vt:lpwstr>0x0101002BB185EAE5C4B24999F64AF816DDB529</vt:lpwstr>
  </property>
  <property fmtid="{D5CDD505-2E9C-101B-9397-08002B2CF9AE}" pid="10" name="MediaServiceImageTags">
    <vt:lpwstr/>
  </property>
</Properties>
</file>